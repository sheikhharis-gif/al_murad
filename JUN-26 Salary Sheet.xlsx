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75BB79B50647FD37/Desktop/"/>
    </mc:Choice>
  </mc:AlternateContent>
  <xr:revisionPtr revIDLastSave="0" documentId="8_{BF658D34-37AA-47A7-9CB2-C69F81504C7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nagement Dashboard" sheetId="1" r:id="rId1"/>
    <sheet name="Salary Slip" sheetId="2" r:id="rId2"/>
    <sheet name="Salary Engine" sheetId="3" r:id="rId3"/>
    <sheet name="Attendance Sheet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D54" i="3"/>
  <c r="E54" i="3"/>
  <c r="F54" i="3"/>
  <c r="G54" i="3"/>
  <c r="H54" i="3"/>
  <c r="I54" i="3"/>
  <c r="J54" i="3"/>
  <c r="K54" i="3"/>
  <c r="O54" i="3"/>
  <c r="D55" i="3"/>
  <c r="J55" i="3" s="1"/>
  <c r="E55" i="3"/>
  <c r="I55" i="3" s="1"/>
  <c r="K55" i="3" s="1"/>
  <c r="O55" i="3" s="1"/>
  <c r="F55" i="3"/>
  <c r="G55" i="3"/>
  <c r="H55" i="3" s="1"/>
  <c r="D56" i="3"/>
  <c r="J56" i="3" s="1"/>
  <c r="E56" i="3"/>
  <c r="F56" i="3"/>
  <c r="G56" i="3"/>
  <c r="H56" i="3"/>
  <c r="I56" i="3"/>
  <c r="K56" i="3" s="1"/>
  <c r="O56" i="3" s="1"/>
  <c r="D57" i="3"/>
  <c r="E57" i="3"/>
  <c r="F57" i="3"/>
  <c r="G57" i="3"/>
  <c r="H57" i="3" s="1"/>
  <c r="J57" i="3"/>
  <c r="D58" i="3"/>
  <c r="E58" i="3"/>
  <c r="F58" i="3"/>
  <c r="G58" i="3"/>
  <c r="H58" i="3"/>
  <c r="I58" i="3"/>
  <c r="K58" i="3" s="1"/>
  <c r="O58" i="3" s="1"/>
  <c r="J58" i="3"/>
  <c r="D59" i="3"/>
  <c r="J59" i="3" s="1"/>
  <c r="E59" i="3"/>
  <c r="F59" i="3"/>
  <c r="G59" i="3"/>
  <c r="H59" i="3" s="1"/>
  <c r="D60" i="3"/>
  <c r="J60" i="3" s="1"/>
  <c r="E60" i="3"/>
  <c r="F60" i="3"/>
  <c r="G60" i="3"/>
  <c r="H60" i="3"/>
  <c r="I60" i="3"/>
  <c r="K60" i="3" s="1"/>
  <c r="O60" i="3" s="1"/>
  <c r="D61" i="3"/>
  <c r="E61" i="3"/>
  <c r="F61" i="3"/>
  <c r="G61" i="3"/>
  <c r="H61" i="3"/>
  <c r="I61" i="3"/>
  <c r="K61" i="3" s="1"/>
  <c r="O61" i="3" s="1"/>
  <c r="J61" i="3"/>
  <c r="D62" i="3"/>
  <c r="E62" i="3"/>
  <c r="F62" i="3"/>
  <c r="G62" i="3"/>
  <c r="H62" i="3" s="1"/>
  <c r="J62" i="3"/>
  <c r="D63" i="3"/>
  <c r="J63" i="3" s="1"/>
  <c r="E63" i="3"/>
  <c r="F63" i="3"/>
  <c r="G63" i="3"/>
  <c r="H63" i="3" s="1"/>
  <c r="D64" i="3"/>
  <c r="J64" i="3" s="1"/>
  <c r="E64" i="3"/>
  <c r="F64" i="3"/>
  <c r="G64" i="3"/>
  <c r="H64" i="3" s="1"/>
  <c r="D65" i="3"/>
  <c r="E65" i="3"/>
  <c r="F65" i="3"/>
  <c r="G65" i="3"/>
  <c r="H65" i="3"/>
  <c r="I65" i="3"/>
  <c r="J65" i="3"/>
  <c r="K65" i="3"/>
  <c r="O65" i="3" s="1"/>
  <c r="D66" i="3"/>
  <c r="E66" i="3"/>
  <c r="F66" i="3"/>
  <c r="G66" i="3"/>
  <c r="H66" i="3"/>
  <c r="I66" i="3"/>
  <c r="J66" i="3"/>
  <c r="K66" i="3"/>
  <c r="O66" i="3"/>
  <c r="D67" i="3"/>
  <c r="J67" i="3" s="1"/>
  <c r="E67" i="3"/>
  <c r="I67" i="3" s="1"/>
  <c r="K67" i="3" s="1"/>
  <c r="O67" i="3" s="1"/>
  <c r="F67" i="3"/>
  <c r="G67" i="3"/>
  <c r="H67" i="3" s="1"/>
  <c r="D68" i="3"/>
  <c r="J68" i="3" s="1"/>
  <c r="E68" i="3"/>
  <c r="F68" i="3"/>
  <c r="G68" i="3"/>
  <c r="H68" i="3"/>
  <c r="I68" i="3"/>
  <c r="K68" i="3" s="1"/>
  <c r="O68" i="3" s="1"/>
  <c r="D69" i="3"/>
  <c r="E69" i="3"/>
  <c r="F69" i="3"/>
  <c r="G69" i="3"/>
  <c r="H69" i="3" s="1"/>
  <c r="J69" i="3"/>
  <c r="D70" i="3"/>
  <c r="E70" i="3"/>
  <c r="F70" i="3"/>
  <c r="G70" i="3"/>
  <c r="H70" i="3"/>
  <c r="I70" i="3"/>
  <c r="J70" i="3"/>
  <c r="D71" i="3"/>
  <c r="J71" i="3" s="1"/>
  <c r="E71" i="3"/>
  <c r="F71" i="3"/>
  <c r="G71" i="3"/>
  <c r="H71" i="3" s="1"/>
  <c r="D72" i="3"/>
  <c r="J72" i="3" s="1"/>
  <c r="E72" i="3"/>
  <c r="F72" i="3"/>
  <c r="G72" i="3"/>
  <c r="H72" i="3"/>
  <c r="I72" i="3"/>
  <c r="D73" i="3"/>
  <c r="E73" i="3"/>
  <c r="F73" i="3"/>
  <c r="G73" i="3"/>
  <c r="H73" i="3"/>
  <c r="I73" i="3"/>
  <c r="K73" i="3" s="1"/>
  <c r="O73" i="3" s="1"/>
  <c r="J73" i="3"/>
  <c r="D74" i="3"/>
  <c r="E74" i="3"/>
  <c r="F74" i="3"/>
  <c r="G74" i="3"/>
  <c r="H74" i="3" s="1"/>
  <c r="J74" i="3"/>
  <c r="D75" i="3"/>
  <c r="J75" i="3" s="1"/>
  <c r="E75" i="3"/>
  <c r="F75" i="3"/>
  <c r="G75" i="3"/>
  <c r="H75" i="3" s="1"/>
  <c r="D9" i="3"/>
  <c r="J9" i="3" s="1"/>
  <c r="E9" i="3"/>
  <c r="F9" i="3"/>
  <c r="G9" i="3"/>
  <c r="H9" i="3" s="1"/>
  <c r="D10" i="3"/>
  <c r="J10" i="3" s="1"/>
  <c r="E10" i="3"/>
  <c r="F10" i="3"/>
  <c r="G10" i="3"/>
  <c r="D11" i="3"/>
  <c r="E11" i="3"/>
  <c r="F11" i="3"/>
  <c r="G11" i="3"/>
  <c r="H11" i="3" s="1"/>
  <c r="J11" i="3"/>
  <c r="D12" i="3"/>
  <c r="E12" i="3"/>
  <c r="F12" i="3"/>
  <c r="G12" i="3"/>
  <c r="H12" i="3"/>
  <c r="I12" i="3" s="1"/>
  <c r="J12" i="3"/>
  <c r="D13" i="3"/>
  <c r="J13" i="3" s="1"/>
  <c r="K13" i="3" s="1"/>
  <c r="O13" i="3" s="1"/>
  <c r="E13" i="3"/>
  <c r="F13" i="3"/>
  <c r="G13" i="3"/>
  <c r="H13" i="3"/>
  <c r="I13" i="3"/>
  <c r="D14" i="3"/>
  <c r="J14" i="3" s="1"/>
  <c r="E14" i="3"/>
  <c r="F14" i="3"/>
  <c r="G14" i="3"/>
  <c r="D15" i="3"/>
  <c r="E15" i="3"/>
  <c r="F15" i="3"/>
  <c r="G15" i="3"/>
  <c r="H15" i="3"/>
  <c r="I15" i="3"/>
  <c r="J15" i="3"/>
  <c r="D16" i="3"/>
  <c r="E16" i="3"/>
  <c r="F16" i="3"/>
  <c r="G16" i="3"/>
  <c r="H16" i="3"/>
  <c r="I16" i="3"/>
  <c r="K16" i="3" s="1"/>
  <c r="O16" i="3" s="1"/>
  <c r="J16" i="3"/>
  <c r="D17" i="3"/>
  <c r="J17" i="3" s="1"/>
  <c r="E17" i="3"/>
  <c r="F17" i="3"/>
  <c r="G17" i="3"/>
  <c r="H17" i="3"/>
  <c r="I17" i="3"/>
  <c r="D18" i="3"/>
  <c r="J18" i="3" s="1"/>
  <c r="E18" i="3"/>
  <c r="F18" i="3"/>
  <c r="G18" i="3"/>
  <c r="D19" i="3"/>
  <c r="E19" i="3"/>
  <c r="F19" i="3"/>
  <c r="G19" i="3"/>
  <c r="H19" i="3" s="1"/>
  <c r="J19" i="3"/>
  <c r="D20" i="3"/>
  <c r="E20" i="3"/>
  <c r="F20" i="3"/>
  <c r="G20" i="3"/>
  <c r="H20" i="3"/>
  <c r="I20" i="3"/>
  <c r="K20" i="3" s="1"/>
  <c r="O20" i="3" s="1"/>
  <c r="J20" i="3"/>
  <c r="D21" i="3"/>
  <c r="J21" i="3" s="1"/>
  <c r="E21" i="3"/>
  <c r="F21" i="3"/>
  <c r="G21" i="3"/>
  <c r="H21" i="3"/>
  <c r="I21" i="3"/>
  <c r="K21" i="3"/>
  <c r="O21" i="3"/>
  <c r="D22" i="3"/>
  <c r="J22" i="3" s="1"/>
  <c r="E22" i="3"/>
  <c r="F22" i="3"/>
  <c r="G22" i="3"/>
  <c r="D23" i="3"/>
  <c r="E23" i="3"/>
  <c r="F23" i="3"/>
  <c r="G23" i="3"/>
  <c r="H23" i="3"/>
  <c r="I23" i="3"/>
  <c r="J23" i="3"/>
  <c r="D24" i="3"/>
  <c r="E24" i="3"/>
  <c r="F24" i="3"/>
  <c r="G24" i="3"/>
  <c r="H24" i="3" s="1"/>
  <c r="I24" i="3" s="1"/>
  <c r="K24" i="3" s="1"/>
  <c r="O24" i="3" s="1"/>
  <c r="J24" i="3"/>
  <c r="D25" i="3"/>
  <c r="J25" i="3" s="1"/>
  <c r="E25" i="3"/>
  <c r="F25" i="3"/>
  <c r="G25" i="3"/>
  <c r="H25" i="3"/>
  <c r="I25" i="3"/>
  <c r="K25" i="3"/>
  <c r="O25" i="3"/>
  <c r="D26" i="3"/>
  <c r="J26" i="3" s="1"/>
  <c r="E26" i="3"/>
  <c r="F26" i="3"/>
  <c r="G26" i="3"/>
  <c r="D27" i="3"/>
  <c r="E27" i="3"/>
  <c r="F27" i="3"/>
  <c r="G27" i="3"/>
  <c r="H27" i="3"/>
  <c r="I27" i="3"/>
  <c r="J27" i="3"/>
  <c r="D28" i="3"/>
  <c r="E28" i="3"/>
  <c r="F28" i="3"/>
  <c r="G28" i="3"/>
  <c r="H28" i="3"/>
  <c r="I28" i="3"/>
  <c r="J28" i="3"/>
  <c r="K28" i="3"/>
  <c r="O28" i="3"/>
  <c r="D29" i="3"/>
  <c r="J29" i="3" s="1"/>
  <c r="E29" i="3"/>
  <c r="F29" i="3"/>
  <c r="G29" i="3"/>
  <c r="H29" i="3" s="1"/>
  <c r="D30" i="3"/>
  <c r="J30" i="3" s="1"/>
  <c r="E30" i="3"/>
  <c r="F30" i="3"/>
  <c r="G30" i="3"/>
  <c r="D31" i="3"/>
  <c r="E31" i="3"/>
  <c r="F31" i="3"/>
  <c r="G31" i="3"/>
  <c r="H31" i="3" s="1"/>
  <c r="J31" i="3"/>
  <c r="D32" i="3"/>
  <c r="E32" i="3"/>
  <c r="F32" i="3"/>
  <c r="G32" i="3"/>
  <c r="H32" i="3"/>
  <c r="I32" i="3"/>
  <c r="J32" i="3"/>
  <c r="K32" i="3"/>
  <c r="O32" i="3"/>
  <c r="D33" i="3"/>
  <c r="J33" i="3" s="1"/>
  <c r="E33" i="3"/>
  <c r="F33" i="3"/>
  <c r="G33" i="3"/>
  <c r="H33" i="3" s="1"/>
  <c r="D34" i="3"/>
  <c r="J34" i="3" s="1"/>
  <c r="E34" i="3"/>
  <c r="F34" i="3"/>
  <c r="G34" i="3"/>
  <c r="D35" i="3"/>
  <c r="E35" i="3"/>
  <c r="F35" i="3"/>
  <c r="G35" i="3"/>
  <c r="H35" i="3" s="1"/>
  <c r="J35" i="3"/>
  <c r="D36" i="3"/>
  <c r="E36" i="3"/>
  <c r="F36" i="3"/>
  <c r="G36" i="3"/>
  <c r="H36" i="3"/>
  <c r="I36" i="3" s="1"/>
  <c r="J36" i="3"/>
  <c r="D37" i="3"/>
  <c r="J37" i="3" s="1"/>
  <c r="E37" i="3"/>
  <c r="F37" i="3"/>
  <c r="G37" i="3"/>
  <c r="H37" i="3" s="1"/>
  <c r="D38" i="3"/>
  <c r="J38" i="3" s="1"/>
  <c r="E38" i="3"/>
  <c r="F38" i="3"/>
  <c r="G38" i="3"/>
  <c r="D39" i="3"/>
  <c r="E39" i="3"/>
  <c r="F39" i="3"/>
  <c r="G39" i="3"/>
  <c r="H39" i="3" s="1"/>
  <c r="J39" i="3"/>
  <c r="D40" i="3"/>
  <c r="E40" i="3"/>
  <c r="F40" i="3"/>
  <c r="G40" i="3"/>
  <c r="H40" i="3"/>
  <c r="I40" i="3"/>
  <c r="J40" i="3"/>
  <c r="K40" i="3"/>
  <c r="O40" i="3" s="1"/>
  <c r="D41" i="3"/>
  <c r="J41" i="3" s="1"/>
  <c r="E41" i="3"/>
  <c r="F41" i="3"/>
  <c r="G41" i="3"/>
  <c r="H41" i="3"/>
  <c r="I41" i="3"/>
  <c r="D42" i="3"/>
  <c r="J42" i="3" s="1"/>
  <c r="E42" i="3"/>
  <c r="F42" i="3"/>
  <c r="G42" i="3"/>
  <c r="D43" i="3"/>
  <c r="J43" i="3" s="1"/>
  <c r="E43" i="3"/>
  <c r="I43" i="3" s="1"/>
  <c r="F43" i="3"/>
  <c r="G43" i="3"/>
  <c r="H43" i="3"/>
  <c r="D44" i="3"/>
  <c r="E44" i="3"/>
  <c r="F44" i="3"/>
  <c r="G44" i="3"/>
  <c r="H44" i="3"/>
  <c r="I44" i="3"/>
  <c r="J44" i="3"/>
  <c r="K44" i="3"/>
  <c r="O44" i="3" s="1"/>
  <c r="D45" i="3"/>
  <c r="E45" i="3"/>
  <c r="F45" i="3"/>
  <c r="G45" i="3"/>
  <c r="H45" i="3"/>
  <c r="I45" i="3"/>
  <c r="J45" i="3"/>
  <c r="K45" i="3"/>
  <c r="O45" i="3"/>
  <c r="D46" i="3"/>
  <c r="J46" i="3" s="1"/>
  <c r="E46" i="3"/>
  <c r="F46" i="3"/>
  <c r="G46" i="3"/>
  <c r="D47" i="3"/>
  <c r="E47" i="3"/>
  <c r="F47" i="3"/>
  <c r="G47" i="3"/>
  <c r="H47" i="3"/>
  <c r="I47" i="3"/>
  <c r="J47" i="3"/>
  <c r="D48" i="3"/>
  <c r="E48" i="3"/>
  <c r="F48" i="3"/>
  <c r="G48" i="3"/>
  <c r="H48" i="3" s="1"/>
  <c r="J48" i="3"/>
  <c r="D49" i="3"/>
  <c r="J49" i="3" s="1"/>
  <c r="E49" i="3"/>
  <c r="F49" i="3"/>
  <c r="G49" i="3"/>
  <c r="H49" i="3"/>
  <c r="I49" i="3"/>
  <c r="D50" i="3"/>
  <c r="J50" i="3" s="1"/>
  <c r="E50" i="3"/>
  <c r="F50" i="3"/>
  <c r="G50" i="3"/>
  <c r="D51" i="3"/>
  <c r="J51" i="3" s="1"/>
  <c r="E51" i="3"/>
  <c r="F51" i="3"/>
  <c r="G51" i="3"/>
  <c r="H51" i="3"/>
  <c r="D52" i="3"/>
  <c r="E52" i="3"/>
  <c r="F52" i="3"/>
  <c r="G52" i="3"/>
  <c r="H52" i="3" s="1"/>
  <c r="J52" i="3"/>
  <c r="D53" i="3"/>
  <c r="J53" i="3" s="1"/>
  <c r="E53" i="3"/>
  <c r="F53" i="3"/>
  <c r="G53" i="3"/>
  <c r="H53" i="3"/>
  <c r="I53" i="3"/>
  <c r="AL76" i="4"/>
  <c r="AL75" i="4"/>
  <c r="AL74" i="4"/>
  <c r="AL73" i="4"/>
  <c r="AL72" i="4"/>
  <c r="AL71" i="4"/>
  <c r="AL70" i="4"/>
  <c r="AL69" i="4"/>
  <c r="AL68" i="4"/>
  <c r="AL67" i="4"/>
  <c r="AL66" i="4"/>
  <c r="AL65" i="4"/>
  <c r="AL64" i="4"/>
  <c r="AL63" i="4"/>
  <c r="AL62" i="4"/>
  <c r="AL61" i="4"/>
  <c r="AL60" i="4"/>
  <c r="AL59" i="4"/>
  <c r="AL58" i="4"/>
  <c r="AL57" i="4"/>
  <c r="AL56" i="4"/>
  <c r="AL55" i="4"/>
  <c r="AL54" i="4"/>
  <c r="AL53" i="4"/>
  <c r="AL52" i="4"/>
  <c r="AL51" i="4"/>
  <c r="AL50" i="4"/>
  <c r="AL49" i="4"/>
  <c r="AL48" i="4"/>
  <c r="AL47" i="4"/>
  <c r="AL46" i="4"/>
  <c r="AL45" i="4"/>
  <c r="AL44" i="4"/>
  <c r="AL43" i="4"/>
  <c r="AL42" i="4"/>
  <c r="AL41" i="4"/>
  <c r="AL40" i="4"/>
  <c r="AL39" i="4"/>
  <c r="AL38" i="4"/>
  <c r="AL37" i="4"/>
  <c r="AL36" i="4"/>
  <c r="AL35" i="4"/>
  <c r="AL34" i="4"/>
  <c r="AL33" i="4"/>
  <c r="AL32" i="4"/>
  <c r="AL31" i="4"/>
  <c r="AL30" i="4"/>
  <c r="AL29" i="4"/>
  <c r="AL28" i="4"/>
  <c r="AL27" i="4"/>
  <c r="AL26" i="4"/>
  <c r="AL25" i="4"/>
  <c r="AL24" i="4"/>
  <c r="AL23" i="4"/>
  <c r="AL22" i="4"/>
  <c r="AL21" i="4"/>
  <c r="AL20" i="4"/>
  <c r="AL19" i="4"/>
  <c r="AL18" i="4"/>
  <c r="AL17" i="4"/>
  <c r="AL16" i="4"/>
  <c r="AL15" i="4"/>
  <c r="AL14" i="4"/>
  <c r="AL13" i="4"/>
  <c r="AL12" i="4"/>
  <c r="AL11" i="4"/>
  <c r="AL10" i="4"/>
  <c r="AL4" i="4"/>
  <c r="AK76" i="4"/>
  <c r="AJ76" i="4"/>
  <c r="AK75" i="4"/>
  <c r="AJ75" i="4"/>
  <c r="AK74" i="4"/>
  <c r="AJ74" i="4"/>
  <c r="AK73" i="4"/>
  <c r="AJ73" i="4"/>
  <c r="AK72" i="4"/>
  <c r="AJ72" i="4"/>
  <c r="AK71" i="4"/>
  <c r="AJ71" i="4"/>
  <c r="AK70" i="4"/>
  <c r="AJ70" i="4"/>
  <c r="AK69" i="4"/>
  <c r="AJ69" i="4"/>
  <c r="AK68" i="4"/>
  <c r="AJ68" i="4"/>
  <c r="AK67" i="4"/>
  <c r="AJ67" i="4"/>
  <c r="AK66" i="4"/>
  <c r="AJ66" i="4"/>
  <c r="AK65" i="4"/>
  <c r="AJ65" i="4"/>
  <c r="AK64" i="4"/>
  <c r="AJ64" i="4"/>
  <c r="AK63" i="4"/>
  <c r="AJ63" i="4"/>
  <c r="AK62" i="4"/>
  <c r="AJ62" i="4"/>
  <c r="AK61" i="4"/>
  <c r="AJ61" i="4"/>
  <c r="AK60" i="4"/>
  <c r="AJ60" i="4"/>
  <c r="AK59" i="4"/>
  <c r="AJ59" i="4"/>
  <c r="AK58" i="4"/>
  <c r="AJ58" i="4"/>
  <c r="AK57" i="4"/>
  <c r="AJ57" i="4"/>
  <c r="AK56" i="4"/>
  <c r="AJ56" i="4"/>
  <c r="AK55" i="4"/>
  <c r="AJ55" i="4"/>
  <c r="AK54" i="4"/>
  <c r="AJ54" i="4"/>
  <c r="AK53" i="4"/>
  <c r="AJ53" i="4"/>
  <c r="AK52" i="4"/>
  <c r="AJ52" i="4"/>
  <c r="AK51" i="4"/>
  <c r="AJ51" i="4"/>
  <c r="AK50" i="4"/>
  <c r="AJ50" i="4"/>
  <c r="AK49" i="4"/>
  <c r="AJ49" i="4"/>
  <c r="AK48" i="4"/>
  <c r="AJ48" i="4"/>
  <c r="AK47" i="4"/>
  <c r="AJ47" i="4"/>
  <c r="AK46" i="4"/>
  <c r="AJ46" i="4"/>
  <c r="AK45" i="4"/>
  <c r="AJ45" i="4"/>
  <c r="AK44" i="4"/>
  <c r="AJ44" i="4"/>
  <c r="AK43" i="4"/>
  <c r="AJ43" i="4"/>
  <c r="AK42" i="4"/>
  <c r="AJ42" i="4"/>
  <c r="AK41" i="4"/>
  <c r="AJ41" i="4"/>
  <c r="AK40" i="4"/>
  <c r="AJ40" i="4"/>
  <c r="AK39" i="4"/>
  <c r="AJ39" i="4"/>
  <c r="AK38" i="4"/>
  <c r="AJ38" i="4"/>
  <c r="AK37" i="4"/>
  <c r="AJ37" i="4"/>
  <c r="AK36" i="4"/>
  <c r="AJ36" i="4"/>
  <c r="AK35" i="4"/>
  <c r="AJ35" i="4"/>
  <c r="AK34" i="4"/>
  <c r="AJ34" i="4"/>
  <c r="AK33" i="4"/>
  <c r="AJ33" i="4"/>
  <c r="AK32" i="4"/>
  <c r="AJ32" i="4"/>
  <c r="AK31" i="4"/>
  <c r="AJ31" i="4"/>
  <c r="AK30" i="4"/>
  <c r="AJ30" i="4"/>
  <c r="AK29" i="4"/>
  <c r="AJ29" i="4"/>
  <c r="AK28" i="4"/>
  <c r="AJ28" i="4"/>
  <c r="AK27" i="4"/>
  <c r="AJ27" i="4"/>
  <c r="AK26" i="4"/>
  <c r="AJ26" i="4"/>
  <c r="AK25" i="4"/>
  <c r="AJ25" i="4"/>
  <c r="AK24" i="4"/>
  <c r="AJ24" i="4"/>
  <c r="AK23" i="4"/>
  <c r="AJ23" i="4"/>
  <c r="AK22" i="4"/>
  <c r="AJ22" i="4"/>
  <c r="AK21" i="4"/>
  <c r="AJ21" i="4"/>
  <c r="AK20" i="4"/>
  <c r="AJ20" i="4"/>
  <c r="AK19" i="4"/>
  <c r="AJ19" i="4"/>
  <c r="AK18" i="4"/>
  <c r="AJ18" i="4"/>
  <c r="AK17" i="4"/>
  <c r="AJ17" i="4"/>
  <c r="AK16" i="4"/>
  <c r="AJ16" i="4"/>
  <c r="AK15" i="4"/>
  <c r="AJ15" i="4"/>
  <c r="AK14" i="4"/>
  <c r="AJ14" i="4"/>
  <c r="AK13" i="4"/>
  <c r="AJ13" i="4"/>
  <c r="AK12" i="4"/>
  <c r="AJ12" i="4"/>
  <c r="AK11" i="4"/>
  <c r="AJ11" i="4"/>
  <c r="AK10" i="4"/>
  <c r="AJ10" i="4"/>
  <c r="AK9" i="4"/>
  <c r="AJ9" i="4"/>
  <c r="AK8" i="4"/>
  <c r="AJ8" i="4"/>
  <c r="AK7" i="4"/>
  <c r="AJ7" i="4"/>
  <c r="AK6" i="4"/>
  <c r="AJ6" i="4"/>
  <c r="AK5" i="4"/>
  <c r="AJ5" i="4"/>
  <c r="AK4" i="4"/>
  <c r="AJ4" i="4"/>
  <c r="K70" i="3" l="1"/>
  <c r="O70" i="3" s="1"/>
  <c r="K72" i="3"/>
  <c r="O72" i="3" s="1"/>
  <c r="K12" i="3"/>
  <c r="O12" i="3" s="1"/>
  <c r="K53" i="3"/>
  <c r="O53" i="3" s="1"/>
  <c r="K36" i="3"/>
  <c r="O36" i="3" s="1"/>
  <c r="K49" i="3"/>
  <c r="O49" i="3" s="1"/>
  <c r="K17" i="3"/>
  <c r="O17" i="3" s="1"/>
  <c r="I11" i="3"/>
  <c r="I9" i="3"/>
  <c r="K9" i="3" s="1"/>
  <c r="O9" i="3" s="1"/>
  <c r="I64" i="3"/>
  <c r="K64" i="3" s="1"/>
  <c r="O64" i="3" s="1"/>
  <c r="I51" i="3"/>
  <c r="K51" i="3" s="1"/>
  <c r="O51" i="3" s="1"/>
  <c r="I39" i="3"/>
  <c r="I37" i="3"/>
  <c r="K37" i="3" s="1"/>
  <c r="O37" i="3" s="1"/>
  <c r="I74" i="3"/>
  <c r="K74" i="3" s="1"/>
  <c r="O74" i="3" s="1"/>
  <c r="I62" i="3"/>
  <c r="K62" i="3" s="1"/>
  <c r="O62" i="3" s="1"/>
  <c r="I52" i="3"/>
  <c r="K52" i="3" s="1"/>
  <c r="O52" i="3" s="1"/>
  <c r="I48" i="3"/>
  <c r="K48" i="3" s="1"/>
  <c r="O48" i="3" s="1"/>
  <c r="K41" i="3"/>
  <c r="O41" i="3" s="1"/>
  <c r="I35" i="3"/>
  <c r="I33" i="3"/>
  <c r="K33" i="3" s="1"/>
  <c r="O33" i="3" s="1"/>
  <c r="I29" i="3"/>
  <c r="K29" i="3" s="1"/>
  <c r="O29" i="3" s="1"/>
  <c r="I69" i="3"/>
  <c r="K69" i="3" s="1"/>
  <c r="O69" i="3" s="1"/>
  <c r="I57" i="3"/>
  <c r="K57" i="3" s="1"/>
  <c r="O57" i="3" s="1"/>
  <c r="K43" i="3"/>
  <c r="O43" i="3" s="1"/>
  <c r="I75" i="3"/>
  <c r="K75" i="3" s="1"/>
  <c r="O75" i="3" s="1"/>
  <c r="I63" i="3"/>
  <c r="K63" i="3" s="1"/>
  <c r="O63" i="3" s="1"/>
  <c r="I71" i="3"/>
  <c r="K71" i="3" s="1"/>
  <c r="O71" i="3" s="1"/>
  <c r="I59" i="3"/>
  <c r="K59" i="3" s="1"/>
  <c r="O59" i="3" s="1"/>
  <c r="H34" i="3"/>
  <c r="I34" i="3"/>
  <c r="K34" i="3" s="1"/>
  <c r="O34" i="3" s="1"/>
  <c r="H22" i="3"/>
  <c r="I22" i="3"/>
  <c r="K22" i="3" s="1"/>
  <c r="O22" i="3" s="1"/>
  <c r="H10" i="3"/>
  <c r="I10" i="3"/>
  <c r="K10" i="3" s="1"/>
  <c r="O10" i="3" s="1"/>
  <c r="K39" i="3"/>
  <c r="O39" i="3" s="1"/>
  <c r="K27" i="3"/>
  <c r="O27" i="3" s="1"/>
  <c r="H42" i="3"/>
  <c r="I42" i="3"/>
  <c r="K42" i="3" s="1"/>
  <c r="O42" i="3" s="1"/>
  <c r="K47" i="3"/>
  <c r="O47" i="3" s="1"/>
  <c r="H18" i="3"/>
  <c r="I18" i="3" s="1"/>
  <c r="K18" i="3" s="1"/>
  <c r="O18" i="3" s="1"/>
  <c r="H50" i="3"/>
  <c r="I50" i="3"/>
  <c r="K50" i="3" s="1"/>
  <c r="O50" i="3" s="1"/>
  <c r="K35" i="3"/>
  <c r="O35" i="3" s="1"/>
  <c r="H38" i="3"/>
  <c r="I38" i="3"/>
  <c r="K38" i="3" s="1"/>
  <c r="O38" i="3" s="1"/>
  <c r="H14" i="3"/>
  <c r="I14" i="3"/>
  <c r="K14" i="3" s="1"/>
  <c r="O14" i="3" s="1"/>
  <c r="H46" i="3"/>
  <c r="I46" i="3" s="1"/>
  <c r="K46" i="3" s="1"/>
  <c r="O46" i="3" s="1"/>
  <c r="I19" i="3"/>
  <c r="K19" i="3" s="1"/>
  <c r="O19" i="3" s="1"/>
  <c r="K15" i="3"/>
  <c r="O15" i="3" s="1"/>
  <c r="H30" i="3"/>
  <c r="I30" i="3"/>
  <c r="K30" i="3" s="1"/>
  <c r="O30" i="3" s="1"/>
  <c r="K23" i="3"/>
  <c r="O23" i="3" s="1"/>
  <c r="K11" i="3"/>
  <c r="O11" i="3" s="1"/>
  <c r="H26" i="3"/>
  <c r="I26" i="3"/>
  <c r="K26" i="3" s="1"/>
  <c r="O26" i="3" s="1"/>
  <c r="I31" i="3"/>
  <c r="K31" i="3" s="1"/>
  <c r="O31" i="3" s="1"/>
  <c r="AL9" i="4" l="1"/>
  <c r="AL8" i="4"/>
  <c r="F7" i="3" s="1"/>
  <c r="AL7" i="4"/>
  <c r="F6" i="3" s="1"/>
  <c r="E6" i="3"/>
  <c r="D6" i="3"/>
  <c r="J6" i="3" s="1"/>
  <c r="AL6" i="4"/>
  <c r="F5" i="3" s="1"/>
  <c r="E5" i="3"/>
  <c r="D5" i="3"/>
  <c r="AL5" i="4"/>
  <c r="F4" i="3" s="1"/>
  <c r="F3" i="3"/>
  <c r="E8" i="2" s="1"/>
  <c r="G8" i="3"/>
  <c r="H8" i="3" s="1"/>
  <c r="I8" i="3" s="1"/>
  <c r="E8" i="3"/>
  <c r="D8" i="3"/>
  <c r="J8" i="3" s="1"/>
  <c r="F8" i="3"/>
  <c r="G7" i="3"/>
  <c r="E7" i="3"/>
  <c r="H7" i="3"/>
  <c r="I7" i="3" s="1"/>
  <c r="J7" i="3"/>
  <c r="D7" i="3"/>
  <c r="G6" i="3"/>
  <c r="H6" i="3" s="1"/>
  <c r="G5" i="3"/>
  <c r="H5" i="3" s="1"/>
  <c r="J5" i="3"/>
  <c r="G4" i="3"/>
  <c r="H4" i="3" s="1"/>
  <c r="E4" i="3"/>
  <c r="D4" i="3"/>
  <c r="J4" i="3"/>
  <c r="G3" i="3"/>
  <c r="H3" i="3" s="1"/>
  <c r="E3" i="3"/>
  <c r="D3" i="3"/>
  <c r="E6" i="2" s="1"/>
  <c r="J3" i="3"/>
  <c r="B13" i="2" s="1"/>
  <c r="E13" i="2"/>
  <c r="E12" i="2"/>
  <c r="E11" i="2"/>
  <c r="B8" i="2"/>
  <c r="B7" i="2"/>
  <c r="B6" i="2"/>
  <c r="C11" i="1"/>
  <c r="C10" i="1"/>
  <c r="C9" i="1"/>
  <c r="F4" i="1"/>
  <c r="B4" i="1"/>
  <c r="I5" i="3" l="1"/>
  <c r="I3" i="3"/>
  <c r="K3" i="3" s="1"/>
  <c r="B11" i="2"/>
  <c r="I4" i="3"/>
  <c r="I6" i="3"/>
  <c r="E7" i="2"/>
  <c r="K7" i="3"/>
  <c r="O7" i="3" s="1"/>
  <c r="D10" i="1" s="1"/>
  <c r="K4" i="3"/>
  <c r="O4" i="3" s="1"/>
  <c r="K5" i="3"/>
  <c r="O5" i="3" s="1"/>
  <c r="K8" i="3"/>
  <c r="O8" i="3" s="1"/>
  <c r="K6" i="3"/>
  <c r="O6" i="3" s="1"/>
  <c r="B14" i="2" l="1"/>
  <c r="O3" i="3"/>
  <c r="B16" i="2" s="1"/>
  <c r="D11" i="1"/>
  <c r="D9" i="1"/>
  <c r="D4" i="1" l="1"/>
</calcChain>
</file>

<file path=xl/sharedStrings.xml><?xml version="1.0" encoding="utf-8"?>
<sst xmlns="http://schemas.openxmlformats.org/spreadsheetml/2006/main" count="2330" uniqueCount="274">
  <si>
    <t>EXECUTIVE PAYROLL &amp; ADVANCE MANAGEMENT DASHBOARD</t>
  </si>
  <si>
    <t>TOTAL ACTIVE STAFF</t>
  </si>
  <si>
    <t>TOTAL MONTHLY PAYOUT</t>
  </si>
  <si>
    <t>TOTAL ADVANCE RECOVERED</t>
  </si>
  <si>
    <t>DESIGNATION SUMMARY</t>
  </si>
  <si>
    <t>Designation</t>
  </si>
  <si>
    <t>Staff Count</t>
  </si>
  <si>
    <t>Total Net Payout</t>
  </si>
  <si>
    <t>Driver</t>
  </si>
  <si>
    <t>Supervisor</t>
  </si>
  <si>
    <t>Officer</t>
  </si>
  <si>
    <t>AUTOMATED SALARY SLIP SYSTEM</t>
  </si>
  <si>
    <t>Select Employee ID:</t>
  </si>
  <si>
    <t>EMP001</t>
  </si>
  <si>
    <t>EMPLOYEE DETAILS</t>
  </si>
  <si>
    <t>Employee ID:</t>
  </si>
  <si>
    <t>Total Present Days:</t>
  </si>
  <si>
    <t>Employee Name:</t>
  </si>
  <si>
    <t>Total Absent Days:</t>
  </si>
  <si>
    <t>Designation:</t>
  </si>
  <si>
    <t>Total Sundays/Off:</t>
  </si>
  <si>
    <t>EARNINGS BREAKDOWN</t>
  </si>
  <si>
    <t>AMOUNT</t>
  </si>
  <si>
    <t>ADVANCE &amp; DEDUCTIONS</t>
  </si>
  <si>
    <t>Scheduled Base Salary</t>
  </si>
  <si>
    <t>Previous Advance Balance</t>
  </si>
  <si>
    <t>Absent Deduction (Base)</t>
  </si>
  <si>
    <t>New Advance Taken</t>
  </si>
  <si>
    <t>Driver Attendance Allowance</t>
  </si>
  <si>
    <t>This Month Advance Return</t>
  </si>
  <si>
    <t>Total Gross Salary</t>
  </si>
  <si>
    <t>NET PAYABLE TO EMPLOYEE</t>
  </si>
  <si>
    <t>EMPLOYEE SALARY ENGINE WITH SUNDAY PAID-OFF &amp; DRIVER ALLOWANCE LOGIC</t>
  </si>
  <si>
    <t>Emp ID</t>
  </si>
  <si>
    <t>Employee Name</t>
  </si>
  <si>
    <t>Present Days</t>
  </si>
  <si>
    <t>Absent Days</t>
  </si>
  <si>
    <t>Sundays</t>
  </si>
  <si>
    <t>Base / Fixed Salary</t>
  </si>
  <si>
    <t>Per Day Rate</t>
  </si>
  <si>
    <t>Earned Base Salary</t>
  </si>
  <si>
    <t>Attendance Allowance (Drivers)</t>
  </si>
  <si>
    <t>Previous Advance</t>
  </si>
  <si>
    <t>Advance Deduction</t>
  </si>
  <si>
    <t>Net Payable Salary</t>
  </si>
  <si>
    <t>EMP002</t>
  </si>
  <si>
    <t>EMP003</t>
  </si>
  <si>
    <t>EMP004</t>
  </si>
  <si>
    <t>EMP005</t>
  </si>
  <si>
    <t>EMP006</t>
  </si>
  <si>
    <t>Total Present</t>
  </si>
  <si>
    <t>Total Absent</t>
  </si>
  <si>
    <t>P</t>
  </si>
  <si>
    <t>S</t>
  </si>
  <si>
    <t>A</t>
  </si>
  <si>
    <t>Shakeel Ayub</t>
  </si>
  <si>
    <t>Kamal UL Haq</t>
  </si>
  <si>
    <t>Ishaq Khan</t>
  </si>
  <si>
    <t>Super Visour At Kolsan</t>
  </si>
  <si>
    <t>Saeed Khan</t>
  </si>
  <si>
    <t>Super Visour At work shop</t>
  </si>
  <si>
    <t>Moshtaq Khan</t>
  </si>
  <si>
    <t>Diesel Boy</t>
  </si>
  <si>
    <t>Shahid</t>
  </si>
  <si>
    <t>Jy-1212</t>
  </si>
  <si>
    <t>p</t>
  </si>
  <si>
    <t>EMP007</t>
  </si>
  <si>
    <t>Raju</t>
  </si>
  <si>
    <t>Jy-1874</t>
  </si>
  <si>
    <t>EMP008</t>
  </si>
  <si>
    <t>Umer Zada</t>
  </si>
  <si>
    <t>Jy-5028</t>
  </si>
  <si>
    <t>EMP009</t>
  </si>
  <si>
    <t>Israr Ahmed</t>
  </si>
  <si>
    <t>Jz-0969</t>
  </si>
  <si>
    <t>EMP10</t>
  </si>
  <si>
    <t>Abdul Rasheed</t>
  </si>
  <si>
    <t>Jy-9317</t>
  </si>
  <si>
    <t>EMP11</t>
  </si>
  <si>
    <t>Saad U Llah</t>
  </si>
  <si>
    <t>Jy-0810</t>
  </si>
  <si>
    <t>EMP12</t>
  </si>
  <si>
    <t>Khawas</t>
  </si>
  <si>
    <t>Jy-4259</t>
  </si>
  <si>
    <t>EMP13</t>
  </si>
  <si>
    <t>Ehid.Muhammad</t>
  </si>
  <si>
    <t>Jx-7756</t>
  </si>
  <si>
    <t>EMP14</t>
  </si>
  <si>
    <t>Shakoor</t>
  </si>
  <si>
    <t>Jy-6094</t>
  </si>
  <si>
    <t>EMP15</t>
  </si>
  <si>
    <t>Musawir</t>
  </si>
  <si>
    <t>Jy-2629</t>
  </si>
  <si>
    <t>EMP16</t>
  </si>
  <si>
    <t>Meer Hassan</t>
  </si>
  <si>
    <t>Jx-7744</t>
  </si>
  <si>
    <t>EMP17</t>
  </si>
  <si>
    <t>Imran</t>
  </si>
  <si>
    <t>Jv-9988</t>
  </si>
  <si>
    <t>EMP18</t>
  </si>
  <si>
    <t>Waheed</t>
  </si>
  <si>
    <t>Jw-8190</t>
  </si>
  <si>
    <t>EMP19</t>
  </si>
  <si>
    <t>Riaz Afridi</t>
  </si>
  <si>
    <t>Jv-3065</t>
  </si>
  <si>
    <t>EMP20</t>
  </si>
  <si>
    <t>Ejaz</t>
  </si>
  <si>
    <t>Jv-3072</t>
  </si>
  <si>
    <t>EMP21</t>
  </si>
  <si>
    <t>Meer Wali</t>
  </si>
  <si>
    <t>Px-0155</t>
  </si>
  <si>
    <t>EMP22</t>
  </si>
  <si>
    <t>Gull Wali</t>
  </si>
  <si>
    <t>Jz-0977</t>
  </si>
  <si>
    <t>EMP23</t>
  </si>
  <si>
    <t>Zeeshan</t>
  </si>
  <si>
    <t>Jz-8497</t>
  </si>
  <si>
    <t>EMP24</t>
  </si>
  <si>
    <t>Ubaid</t>
  </si>
  <si>
    <t>Jy-3618</t>
  </si>
  <si>
    <t>EMP25</t>
  </si>
  <si>
    <t>Khyal Samanad</t>
  </si>
  <si>
    <t>Tkz-301</t>
  </si>
  <si>
    <t>EMP26</t>
  </si>
  <si>
    <t>Ishfaq</t>
  </si>
  <si>
    <t>Jz-1328</t>
  </si>
  <si>
    <t>EMP27</t>
  </si>
  <si>
    <t>Arbaz</t>
  </si>
  <si>
    <t>Jw-5489</t>
  </si>
  <si>
    <t>EMP28</t>
  </si>
  <si>
    <t>Shezad</t>
  </si>
  <si>
    <t>EMP29</t>
  </si>
  <si>
    <t>Shoukat</t>
  </si>
  <si>
    <t>Jw-1656</t>
  </si>
  <si>
    <t>EMP30</t>
  </si>
  <si>
    <t>Sami</t>
  </si>
  <si>
    <t>EMP31</t>
  </si>
  <si>
    <t>Noor Das</t>
  </si>
  <si>
    <t>Jv-4735</t>
  </si>
  <si>
    <t>EMP32</t>
  </si>
  <si>
    <t>Salman</t>
  </si>
  <si>
    <t>EMP33</t>
  </si>
  <si>
    <t>Irfan</t>
  </si>
  <si>
    <t>Jw-6116</t>
  </si>
  <si>
    <t>EMP34</t>
  </si>
  <si>
    <t>Zubair</t>
  </si>
  <si>
    <t>EMP35</t>
  </si>
  <si>
    <t>Saraj</t>
  </si>
  <si>
    <t>Jv-3066</t>
  </si>
  <si>
    <t>EMP36</t>
  </si>
  <si>
    <t>Talha Muhammad</t>
  </si>
  <si>
    <t>Jv-9989</t>
  </si>
  <si>
    <t>EMP37</t>
  </si>
  <si>
    <t>Jaweed</t>
  </si>
  <si>
    <t>Tkg-983</t>
  </si>
  <si>
    <t>EMP38</t>
  </si>
  <si>
    <t>Naseeb Zada</t>
  </si>
  <si>
    <t>Jv-1373</t>
  </si>
  <si>
    <t>EMP39</t>
  </si>
  <si>
    <t>Doulat Khan</t>
  </si>
  <si>
    <t>Tkx-566</t>
  </si>
  <si>
    <t>EMP40</t>
  </si>
  <si>
    <t>EMP41</t>
  </si>
  <si>
    <t>Noor Asgher</t>
  </si>
  <si>
    <t>Jv-1692</t>
  </si>
  <si>
    <t>EMP42</t>
  </si>
  <si>
    <t>Majeed</t>
  </si>
  <si>
    <t>Jx-6504</t>
  </si>
  <si>
    <t>EMP43</t>
  </si>
  <si>
    <t>Riaz Hussain</t>
  </si>
  <si>
    <t>Jy-9968</t>
  </si>
  <si>
    <t>EMP44</t>
  </si>
  <si>
    <t>Sultan</t>
  </si>
  <si>
    <t>EMP45</t>
  </si>
  <si>
    <t>Yasir</t>
  </si>
  <si>
    <t>Jy-5656</t>
  </si>
  <si>
    <t>EMP46</t>
  </si>
  <si>
    <t>Muhammad Khan</t>
  </si>
  <si>
    <t>Tkz-303</t>
  </si>
  <si>
    <t>EMP47</t>
  </si>
  <si>
    <t>Hammed</t>
  </si>
  <si>
    <t>Jz-0873</t>
  </si>
  <si>
    <t>EMP48</t>
  </si>
  <si>
    <t>EMP49</t>
  </si>
  <si>
    <t>Anwer</t>
  </si>
  <si>
    <t>Tkr-126</t>
  </si>
  <si>
    <t>EMP50</t>
  </si>
  <si>
    <t>Ismail</t>
  </si>
  <si>
    <t>Jv-4153</t>
  </si>
  <si>
    <t>EMP51</t>
  </si>
  <si>
    <t>Tahir</t>
  </si>
  <si>
    <t>Tae-844</t>
  </si>
  <si>
    <t>EMP52</t>
  </si>
  <si>
    <t>Khan Aslam</t>
  </si>
  <si>
    <t>EMP53</t>
  </si>
  <si>
    <t>Nawab</t>
  </si>
  <si>
    <t>Jz-0974</t>
  </si>
  <si>
    <t>EMP54</t>
  </si>
  <si>
    <t>Ashger</t>
  </si>
  <si>
    <t>Tkx-577</t>
  </si>
  <si>
    <t>EMP55</t>
  </si>
  <si>
    <t>Bashir</t>
  </si>
  <si>
    <t>Jy-4821</t>
  </si>
  <si>
    <t>EMP56</t>
  </si>
  <si>
    <t>Khalil UR Rehman</t>
  </si>
  <si>
    <t>EMP57</t>
  </si>
  <si>
    <t>Gull Sher</t>
  </si>
  <si>
    <t>Jz-1455</t>
  </si>
  <si>
    <t>EMP58</t>
  </si>
  <si>
    <t>EMP59</t>
  </si>
  <si>
    <t>EMP60</t>
  </si>
  <si>
    <t>EMP61</t>
  </si>
  <si>
    <t>EMP62</t>
  </si>
  <si>
    <t>EMP63</t>
  </si>
  <si>
    <t>EMP64</t>
  </si>
  <si>
    <t>EMP65</t>
  </si>
  <si>
    <t>EMP66</t>
  </si>
  <si>
    <t>EMP67</t>
  </si>
  <si>
    <t>EMP68</t>
  </si>
  <si>
    <t>EMP69</t>
  </si>
  <si>
    <t>EMP70</t>
  </si>
  <si>
    <t>EMP71</t>
  </si>
  <si>
    <t>EMP72</t>
  </si>
  <si>
    <t>EMP73</t>
  </si>
  <si>
    <t>EMPLOYEE MONTHLY ATTENDANCE TRACKER</t>
  </si>
  <si>
    <t>Month</t>
  </si>
  <si>
    <t>Jun-26</t>
  </si>
  <si>
    <t>Dates</t>
  </si>
  <si>
    <t>Deployed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</si>
  <si>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</si>
  <si>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</si>
  <si>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</si>
  <si>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</si>
  <si>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</si>
  <si>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</si>
  <si>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</si>
  <si>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</si>
  <si>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</si>
  <si>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</si>
  <si>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</si>
  <si>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</si>
  <si>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</si>
  <si>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</si>
  <si>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</si>
  <si>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</si>
  <si>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</si>
  <si>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</si>
  <si>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</si>
  <si>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</si>
  <si>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</si>
  <si>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</si>
  <si>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</si>
  <si>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</si>
  <si>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</si>
  <si>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</si>
  <si>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</si>
  <si>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</si>
  <si>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</si>
  <si>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</si>
  <si>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</si>
  <si>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Column1</t>
  </si>
  <si>
    <t>Column2</t>
  </si>
  <si>
    <t>Vehicle #</t>
  </si>
  <si>
    <t>Monday</t>
  </si>
  <si>
    <t>Tuesday</t>
  </si>
  <si>
    <t>Wednesday</t>
  </si>
  <si>
    <t>Thursday</t>
  </si>
  <si>
    <t>Friday</t>
  </si>
  <si>
    <t>Saturday</t>
  </si>
  <si>
    <t>Sunday</t>
  </si>
  <si>
    <t>Total Sunday</t>
  </si>
  <si>
    <t>Column3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</si>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</sst>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20"/>
      <color rgb="FF005B5C"/>
      <name val="Calibri"/>
    </font>
    <font>
      <b/>
      <sz val="12"/>
      <color rgb="FF005B5C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5B5C"/>
        <bgColor rgb="FF005B5C"/>
      </patternFill>
    </fill>
    <fill>
      <patternFill patternType="solid">
        <fgColor rgb="FFFFF2CC"/>
        <bgColor rgb="FFFFF2CC"/>
      </patternFill>
    </fill>
    <fill>
      <patternFill patternType="solid">
        <fgColor rgb="FFE6F2F2"/>
        <bgColor rgb="FFE6F2F2"/>
      </patternFill>
    </fill>
    <fill>
      <patternFill patternType="solid">
        <fgColor rgb="FFF2F8F8"/>
        <bgColor rgb="FFF2F8F8"/>
      </patternFill>
    </fill>
    <fill>
      <patternFill patternType="solid">
        <fgColor rgb="FF114B5F"/>
        <bgColor rgb="FF114B5F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indexed="64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rgb="FFD3D3D3"/>
      </right>
      <top style="thin">
        <color rgb="FFD3D3D3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indexed="64"/>
      </bottom>
      <diagonal/>
    </border>
    <border>
      <left style="thin">
        <color rgb="FFD3D3D3"/>
      </left>
      <right style="thin">
        <color indexed="64"/>
      </right>
      <top style="thin">
        <color rgb="FFD3D3D3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2" fillId="2" borderId="0" xfId="0" applyFont="1" applyFill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/>
    <xf numFmtId="0" fontId="0" fillId="0" borderId="1" xfId="0" applyBorder="1"/>
    <xf numFmtId="0" fontId="3" fillId="4" borderId="1" xfId="0" applyFont="1" applyFill="1" applyBorder="1"/>
    <xf numFmtId="3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/>
    <xf numFmtId="0" fontId="7" fillId="0" borderId="0" xfId="0" applyFont="1" applyAlignment="1">
      <alignment vertical="center"/>
    </xf>
    <xf numFmtId="0" fontId="0" fillId="0" borderId="0" xfId="0" applyAlignment="1">
      <alignment vertical="center" textRotation="90"/>
    </xf>
    <xf numFmtId="0" fontId="7" fillId="0" borderId="0" xfId="0" applyFont="1" applyAlignment="1">
      <alignment vertical="center" textRotation="90"/>
    </xf>
    <xf numFmtId="0" fontId="7" fillId="0" borderId="0" xfId="0" applyFont="1" applyAlignment="1">
      <alignment vertical="center" textRotation="90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3" fillId="0" borderId="5" xfId="0" applyFont="1" applyBorder="1"/>
    <xf numFmtId="0" fontId="3" fillId="3" borderId="0" xfId="0" applyFont="1" applyFill="1" applyBorder="1"/>
    <xf numFmtId="0" fontId="3" fillId="0" borderId="7" xfId="0" applyFont="1" applyBorder="1"/>
    <xf numFmtId="0" fontId="0" fillId="0" borderId="8" xfId="0" applyBorder="1"/>
    <xf numFmtId="0" fontId="0" fillId="0" borderId="7" xfId="0" applyBorder="1"/>
    <xf numFmtId="0" fontId="3" fillId="4" borderId="7" xfId="0" applyFont="1" applyFill="1" applyBorder="1"/>
    <xf numFmtId="0" fontId="3" fillId="4" borderId="8" xfId="0" applyFont="1" applyFill="1" applyBorder="1"/>
    <xf numFmtId="3" fontId="0" fillId="0" borderId="8" xfId="0" applyNumberFormat="1" applyBorder="1"/>
    <xf numFmtId="0" fontId="3" fillId="0" borderId="9" xfId="0" applyFont="1" applyBorder="1"/>
    <xf numFmtId="3" fontId="3" fillId="4" borderId="10" xfId="0" applyNumberFormat="1" applyFont="1" applyFill="1" applyBorder="1"/>
    <xf numFmtId="0" fontId="0" fillId="0" borderId="10" xfId="0" applyBorder="1"/>
    <xf numFmtId="0" fontId="0" fillId="0" borderId="11" xfId="0" applyBorder="1"/>
    <xf numFmtId="0" fontId="10" fillId="6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alignment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53C3D8-B5E1-40B9-A916-EEC27812C470}" name="Table4" displayName="Table4" ref="A2:P75" totalsRowShown="0" headerRowDxfId="5">
  <autoFilter ref="A2:P75" xr:uid="{0D53C3D8-B5E1-40B9-A916-EEC27812C470}"/>
  <tableColumns count="16">
    <tableColumn id="1" xr3:uid="{92814802-0AAB-4890-9D09-2F9D5D4730AF}" name="Emp ID"/>
    <tableColumn id="2" xr3:uid="{B9A4FA85-473B-4537-8919-DF98B19AD65A}" name="Employee Name"/>
    <tableColumn id="3" xr3:uid="{101EC2F2-2C01-4D49-B2B2-A9A9D443C687}" name="Designation"/>
    <tableColumn id="4" xr3:uid="{66D3B520-01F7-4B91-BD75-F735EAEBF9A6}" name="Present Days">
      <calculatedColumnFormula>'Attendance Sheet'!AJ4</calculatedColumnFormula>
    </tableColumn>
    <tableColumn id="5" xr3:uid="{43FB77C7-04BE-4BDC-9AB8-05940CFD3640}" name="Absent Days">
      <calculatedColumnFormula>'Attendance Sheet'!AK4</calculatedColumnFormula>
    </tableColumn>
    <tableColumn id="6" xr3:uid="{C22DA13B-37B7-486A-81F6-B84EF899D53C}" name="Sundays">
      <calculatedColumnFormula>'Attendance Sheet'!AL4</calculatedColumnFormula>
    </tableColumn>
    <tableColumn id="7" xr3:uid="{E57E6C67-3B89-4384-9C81-8E22C14D6CE6}" name="Base / Fixed Salary">
      <calculatedColumnFormula>IF(C3="Driver", 25000, IF(C3="Supervisor", 45000, 55000))</calculatedColumnFormula>
    </tableColumn>
    <tableColumn id="8" xr3:uid="{87D7B6D7-A4CC-4526-B031-10139DA39D0C}" name="Per Day Rate">
      <calculatedColumnFormula>ROUND(G3/30, 0)</calculatedColumnFormula>
    </tableColumn>
    <tableColumn id="9" xr3:uid="{DDD5FBE3-EAAE-463B-83A1-1ED59B1A5DB4}" name="Earned Base Salary">
      <calculatedColumnFormula>G3-(E3*H3)</calculatedColumnFormula>
    </tableColumn>
    <tableColumn id="10" xr3:uid="{BACD982B-372A-46C2-B31F-0B3095DE41DD}" name="Attendance Allowance (Drivers)">
      <calculatedColumnFormula>IF(C3="Driver", D3*500, 0)</calculatedColumnFormula>
    </tableColumn>
    <tableColumn id="11" xr3:uid="{9BE60CC7-7D29-46F1-8C7D-4A4DDCF591F8}" name="Total Gross Salary">
      <calculatedColumnFormula>I3+J3</calculatedColumnFormula>
    </tableColumn>
    <tableColumn id="12" xr3:uid="{96165F2B-F177-482F-BF1F-01B6B8D33625}" name="Previous Advance"/>
    <tableColumn id="13" xr3:uid="{FC234DE0-802B-44E4-9142-EE12531D81E0}" name="New Advance Taken"/>
    <tableColumn id="14" xr3:uid="{62403AB3-F816-464C-AF8A-61EE242A0A45}" name="Advance Deduction"/>
    <tableColumn id="15" xr3:uid="{CB343DC2-878E-446E-81DA-538C7D58A9B4}" name="Net Payable Salary">
      <calculatedColumnFormula>K3-N3</calculatedColumnFormula>
    </tableColumn>
    <tableColumn id="16" xr3:uid="{67B8A982-C910-4138-ADC8-D0A64FA0CF0D}" name="Status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2DF74A-21CC-46D9-A965-BF9B29F58706}" name="Table3" displayName="Table3" ref="A2:AL76" totalsRowShown="0" headerRowDxfId="0">
  <autoFilter ref="A2:AL76" xr:uid="{402DF74A-21CC-46D9-A965-BF9B29F58706}"/>
  <tableColumns count="38">
    <tableColumn id="1" xr3:uid="{05726B1D-8CD0-4EA8-8C38-489D8215B87D}" name="Month"/>
    <tableColumn id="2" xr3:uid="{E5275E21-984C-40F1-99EF-77209FBBDEB2}" name="Jun-26"/>
    <tableColumn id="3" xr3:uid="{C045C469-3D00-4DDF-A808-8FEF77293FA6}" name="Dates"/>
    <tableColumn id="4" xr3:uid="{428A7B55-DFCE-4529-9343-82C4A2C3B01F}" name="Deployed"/>
    <tableColumn id="5" xr3:uid="{3C79CEA6-85A7-4F46-A319-4B39EC88104F}" name="1"/>
    <tableColumn id="6" xr3:uid="{4DC1BC1F-B143-454A-BA25-F952D2A73092}" name="2"/>
    <tableColumn id="7" xr3:uid="{FD86FE44-24DD-4782-B728-966F53B3E7C8}" name="3"/>
    <tableColumn id="8" xr3:uid="{A07CD5D4-D3C8-4E67-BCF3-7682BD00B711}" name="4"/>
    <tableColumn id="9" xr3:uid="{083E53B5-03A8-402D-9827-E13B5C8C7F44}" name="5"/>
    <tableColumn id="10" xr3:uid="{9601BC81-1A65-4D84-9E83-F019701727B0}" name="6"/>
    <tableColumn id="11" xr3:uid="{DBA3E6E5-9B29-41D9-8391-F11F87597178}" name="7"/>
    <tableColumn id="12" xr3:uid="{9886AE97-6988-4BCD-9C9E-61883A10BB0F}" name="8"/>
    <tableColumn id="13" xr3:uid="{3F5515BE-46C5-4A48-83BC-D6B2B6BB730F}" name="9"/>
    <tableColumn id="14" xr3:uid="{54C3A07E-436C-4F76-BD55-011B2999EAD7}" name="10"/>
    <tableColumn id="15" xr3:uid="{4FFE0685-48A1-4E00-84C3-8C9D3B297903}" name="11"/>
    <tableColumn id="16" xr3:uid="{45C9B2A7-4E50-457B-A9F6-2CDCE9A4C3C4}" name="12"/>
    <tableColumn id="17" xr3:uid="{6D1BDB4C-828A-402D-810F-1EC1957DF1AB}" name="13"/>
    <tableColumn id="18" xr3:uid="{6995709C-A9EE-4BB6-99C2-3D99A3A84683}" name="14"/>
    <tableColumn id="19" xr3:uid="{38D03F6B-B2BD-4E39-86EC-90776FCCCC8F}" name="15"/>
    <tableColumn id="20" xr3:uid="{7D01AF3D-A852-48D3-9072-9903C36CC2CC}" name="16"/>
    <tableColumn id="21" xr3:uid="{068D6C52-FEA2-450F-97D3-E1420EC4CE56}" name="17"/>
    <tableColumn id="22" xr3:uid="{7F689E77-C33D-4E7D-9554-FBE8BBE8A58E}" name="18"/>
    <tableColumn id="23" xr3:uid="{34A072DB-E9B7-49E1-9C7A-2A1C38CD9CD0}" name="19"/>
    <tableColumn id="24" xr3:uid="{AB6C25B6-11A5-4AA3-A6AA-2EA09992C4D7}" name="20"/>
    <tableColumn id="25" xr3:uid="{14281D53-8C69-4045-98C8-2509723A5FBB}" name="21"/>
    <tableColumn id="26" xr3:uid="{9FF016FC-E59A-471B-9A47-49E0FC4625F0}" name="22"/>
    <tableColumn id="27" xr3:uid="{E8B9BCCA-3FE6-4486-948A-AAFB2657EED1}" name="23"/>
    <tableColumn id="28" xr3:uid="{F17AF161-0702-4B3F-A5F4-B27D92D2DD44}" name="24"/>
    <tableColumn id="29" xr3:uid="{DEFD4D07-CDFE-4B1D-AD01-7C1703E6FC82}" name="25"/>
    <tableColumn id="30" xr3:uid="{FBB04B73-8FDB-49FA-849B-34EB351CAC87}" name="26"/>
    <tableColumn id="31" xr3:uid="{5547CAB4-8E5A-4BEC-A00A-5FFEA9C165E2}" name="27"/>
    <tableColumn id="32" xr3:uid="{E13D550C-65BE-42B5-827E-8904F301964E}" name="28"/>
    <tableColumn id="33" xr3:uid="{AAAB6584-EC82-4BAA-9151-02A3805F08E8}" name="29"/>
    <tableColumn id="34" xr3:uid="{EDA3DB58-F8F3-4C54-9D99-D80BEE82CC99}" name="30"/>
    <tableColumn id="35" xr3:uid="{500BC0BD-E4DB-4E14-9B59-84216DE0188A}" name="31"/>
    <tableColumn id="36" xr3:uid="{0ACEAAE2-8CB6-4E12-A212-862C59A987D8}" name="Column1">
      <calculatedColumnFormula>COUNTIF(E3:AI3, "P")</calculatedColumnFormula>
    </tableColumn>
    <tableColumn id="37" xr3:uid="{18A13FB2-7662-4ABA-BC44-E07BA09933FE}" name="Column2">
      <calculatedColumnFormula>COUNTIF(E3:AI3, "A")</calculatedColumnFormula>
    </tableColumn>
    <tableColumn id="38" xr3:uid="{9406345B-E82B-405F-8DF6-C5533DBC44BE}" name="Column3">
      <calculatedColumnFormula>COUNTIF(E3:AI3, "S")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D10" sqref="D10"/>
    </sheetView>
  </sheetViews>
  <sheetFormatPr defaultRowHeight="14.4"/>
  <cols>
    <col min="1" max="1" width="26.6640625" customWidth="1"/>
    <col min="2" max="2" width="24.77734375" bestFit="1" customWidth="1"/>
    <col min="3" max="3" width="10.5546875" bestFit="1" customWidth="1"/>
    <col min="4" max="4" width="25" customWidth="1"/>
    <col min="5" max="5" width="14" customWidth="1"/>
    <col min="6" max="6" width="25" customWidth="1"/>
    <col min="7" max="7" width="14" customWidth="1"/>
  </cols>
  <sheetData>
    <row r="1" spans="1:7" ht="21">
      <c r="A1" s="12" t="s">
        <v>0</v>
      </c>
      <c r="B1" s="12"/>
      <c r="C1" s="12"/>
      <c r="D1" s="12"/>
      <c r="E1" s="12"/>
      <c r="F1" s="12"/>
      <c r="G1" s="15"/>
    </row>
    <row r="3" spans="1:7">
      <c r="B3" s="1" t="s">
        <v>1</v>
      </c>
      <c r="D3" s="1" t="s">
        <v>2</v>
      </c>
      <c r="F3" s="1" t="s">
        <v>3</v>
      </c>
    </row>
    <row r="4" spans="1:7" ht="25.8">
      <c r="B4" s="2">
        <f>COUNTA('Salary Engine'!A3:A500)</f>
        <v>73</v>
      </c>
      <c r="D4" s="3">
        <f>SUM('Salary Engine'!O3:O500)</f>
        <v>2976865</v>
      </c>
      <c r="F4" s="3">
        <f>SUM('Salary Engine'!N3:N500)</f>
        <v>0</v>
      </c>
    </row>
    <row r="7" spans="1:7" ht="15.6">
      <c r="B7" s="4" t="s">
        <v>4</v>
      </c>
    </row>
    <row r="8" spans="1:7">
      <c r="B8" s="5" t="s">
        <v>5</v>
      </c>
      <c r="C8" s="5" t="s">
        <v>6</v>
      </c>
      <c r="D8" s="5" t="s">
        <v>7</v>
      </c>
    </row>
    <row r="9" spans="1:7">
      <c r="B9" s="6" t="s">
        <v>8</v>
      </c>
      <c r="C9" s="7">
        <f>COUNTIF('Salary Engine'!C3:C500, "Driver")</f>
        <v>53</v>
      </c>
      <c r="D9" s="8">
        <f>SUMIF('Salary Engine'!C3:C500, "Driver", 'Salary Engine'!O3:O500)</f>
        <v>1886865</v>
      </c>
    </row>
    <row r="10" spans="1:7">
      <c r="B10" s="6" t="s">
        <v>9</v>
      </c>
      <c r="C10" s="7">
        <f>COUNTIF('Salary Engine'!C3:C500, "Supervisor")</f>
        <v>1</v>
      </c>
      <c r="D10" s="8">
        <f>SUMIF('Salary Engine'!C3:C500, "Supervisor", 'Salary Engine'!O3:O500)</f>
        <v>45000</v>
      </c>
    </row>
    <row r="11" spans="1:7">
      <c r="B11" s="6" t="s">
        <v>10</v>
      </c>
      <c r="C11" s="7">
        <f>COUNTIF('Salary Engine'!C3:C500, "Officer")</f>
        <v>3</v>
      </c>
      <c r="D11" s="8">
        <f>SUMIF('Salary Engine'!C3:C500, "Officer", 'Salary Engine'!O3:O500)</f>
        <v>165000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B3" sqref="B3"/>
    </sheetView>
  </sheetViews>
  <sheetFormatPr defaultRowHeight="14.4"/>
  <cols>
    <col min="1" max="1" width="30" customWidth="1"/>
    <col min="2" max="2" width="14.88671875" bestFit="1" customWidth="1"/>
    <col min="3" max="3" width="14" customWidth="1"/>
    <col min="4" max="4" width="23.6640625" bestFit="1" customWidth="1"/>
    <col min="5" max="5" width="9" bestFit="1" customWidth="1"/>
    <col min="6" max="7" width="14" customWidth="1"/>
  </cols>
  <sheetData>
    <row r="1" spans="1:7" ht="21">
      <c r="A1" s="24" t="s">
        <v>11</v>
      </c>
      <c r="B1" s="25"/>
      <c r="C1" s="25"/>
      <c r="D1" s="25"/>
      <c r="E1" s="26"/>
      <c r="F1" s="15"/>
      <c r="G1" s="15"/>
    </row>
    <row r="2" spans="1:7">
      <c r="A2" s="27"/>
      <c r="B2" s="28"/>
      <c r="C2" s="28"/>
      <c r="D2" s="28"/>
      <c r="E2" s="29"/>
    </row>
    <row r="3" spans="1:7">
      <c r="A3" s="30" t="s">
        <v>12</v>
      </c>
      <c r="B3" s="31" t="s">
        <v>158</v>
      </c>
      <c r="C3" s="28"/>
      <c r="D3" s="28"/>
      <c r="E3" s="29"/>
    </row>
    <row r="4" spans="1:7">
      <c r="A4" s="27"/>
      <c r="B4" s="28"/>
      <c r="C4" s="28"/>
      <c r="D4" s="28"/>
      <c r="E4" s="29"/>
    </row>
    <row r="5" spans="1:7">
      <c r="A5" s="32" t="s">
        <v>14</v>
      </c>
      <c r="B5" s="9"/>
      <c r="C5" s="9"/>
      <c r="D5" s="9"/>
      <c r="E5" s="33"/>
    </row>
    <row r="6" spans="1:7">
      <c r="A6" s="34" t="s">
        <v>15</v>
      </c>
      <c r="B6" s="9" t="str">
        <f>B3</f>
        <v>EMP39</v>
      </c>
      <c r="C6" s="9"/>
      <c r="D6" s="9" t="s">
        <v>16</v>
      </c>
      <c r="E6" s="33">
        <f>VLOOKUP(B3, 'Salary Engine'!A:O, 4, FALSE)</f>
        <v>20</v>
      </c>
    </row>
    <row r="7" spans="1:7">
      <c r="A7" s="34" t="s">
        <v>17</v>
      </c>
      <c r="B7" s="9" t="str">
        <f>VLOOKUP(B3, 'Salary Engine'!A:O, 2, FALSE)</f>
        <v>Doulat Khan</v>
      </c>
      <c r="C7" s="9"/>
      <c r="D7" s="9" t="s">
        <v>18</v>
      </c>
      <c r="E7" s="33">
        <f>VLOOKUP(B3, 'Salary Engine'!A:O, 5, FALSE)</f>
        <v>6</v>
      </c>
    </row>
    <row r="8" spans="1:7">
      <c r="A8" s="34" t="s">
        <v>19</v>
      </c>
      <c r="B8" s="9" t="str">
        <f>VLOOKUP(B3, 'Salary Engine'!A:O, 3, FALSE)</f>
        <v>Driver</v>
      </c>
      <c r="C8" s="9"/>
      <c r="D8" s="9" t="s">
        <v>20</v>
      </c>
      <c r="E8" s="33">
        <f>VLOOKUP(B3, 'Salary Engine'!A:O, 6, FALSE)</f>
        <v>4</v>
      </c>
    </row>
    <row r="9" spans="1:7">
      <c r="A9" s="34"/>
      <c r="B9" s="9"/>
      <c r="C9" s="9"/>
      <c r="D9" s="9"/>
      <c r="E9" s="33"/>
    </row>
    <row r="10" spans="1:7">
      <c r="A10" s="35" t="s">
        <v>21</v>
      </c>
      <c r="B10" s="10" t="s">
        <v>22</v>
      </c>
      <c r="C10" s="9"/>
      <c r="D10" s="10" t="s">
        <v>23</v>
      </c>
      <c r="E10" s="36" t="s">
        <v>22</v>
      </c>
    </row>
    <row r="11" spans="1:7">
      <c r="A11" s="34" t="s">
        <v>24</v>
      </c>
      <c r="B11" s="11">
        <f>VLOOKUP(B3, 'Salary Engine'!A:O, 7, FALSE)</f>
        <v>25000</v>
      </c>
      <c r="C11" s="9"/>
      <c r="D11" s="9" t="s">
        <v>25</v>
      </c>
      <c r="E11" s="37">
        <f>VLOOKUP(B3, 'Salary Engine'!A:O, 12, FALSE)</f>
        <v>0</v>
      </c>
    </row>
    <row r="12" spans="1:7">
      <c r="A12" s="34" t="s">
        <v>26</v>
      </c>
      <c r="B12" s="11">
        <f>-1*(VLOOKUP(B3, 'Salary Engine'!A:O, 5, FALSE)*VLOOKUP(B3, 'Salary Engine'!A:O, 8, FALSE))</f>
        <v>-4998</v>
      </c>
      <c r="C12" s="9"/>
      <c r="D12" s="9" t="s">
        <v>27</v>
      </c>
      <c r="E12" s="37">
        <f>VLOOKUP(B3, 'Salary Engine'!A:O, 13, FALSE)</f>
        <v>0</v>
      </c>
    </row>
    <row r="13" spans="1:7">
      <c r="A13" s="34" t="s">
        <v>28</v>
      </c>
      <c r="B13" s="11">
        <f>VLOOKUP(B3, 'Salary Engine'!A:O, 10, FALSE)</f>
        <v>10000</v>
      </c>
      <c r="C13" s="9"/>
      <c r="D13" s="9" t="s">
        <v>29</v>
      </c>
      <c r="E13" s="37">
        <f>VLOOKUP(B3, 'Salary Engine'!A:O, 14, FALSE)</f>
        <v>0</v>
      </c>
    </row>
    <row r="14" spans="1:7">
      <c r="A14" s="34" t="s">
        <v>30</v>
      </c>
      <c r="B14" s="8">
        <f>VLOOKUP(B3, 'Salary Engine'!A:O, 11, FALSE)</f>
        <v>30002</v>
      </c>
      <c r="C14" s="9"/>
      <c r="D14" s="9"/>
      <c r="E14" s="33"/>
    </row>
    <row r="15" spans="1:7">
      <c r="A15" s="34"/>
      <c r="B15" s="9"/>
      <c r="C15" s="9"/>
      <c r="D15" s="9"/>
      <c r="E15" s="33"/>
    </row>
    <row r="16" spans="1:7">
      <c r="A16" s="38" t="s">
        <v>31</v>
      </c>
      <c r="B16" s="39">
        <f>VLOOKUP(B3, 'Salary Engine'!A:O, 15, FALSE)</f>
        <v>30002</v>
      </c>
      <c r="C16" s="40"/>
      <c r="D16" s="40"/>
      <c r="E16" s="41"/>
    </row>
  </sheetData>
  <mergeCells count="1">
    <mergeCell ref="A1:E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'Salary Engine'!$A$3:$A$500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5"/>
  <sheetViews>
    <sheetView tabSelected="1" topLeftCell="A2" workbookViewId="0">
      <selection activeCell="J6" sqref="J6"/>
    </sheetView>
  </sheetViews>
  <sheetFormatPr defaultRowHeight="14.4"/>
  <cols>
    <col min="1" max="1" width="9.21875" bestFit="1" customWidth="1"/>
    <col min="2" max="2" width="20" customWidth="1"/>
    <col min="3" max="3" width="14" customWidth="1"/>
    <col min="4" max="4" width="14" bestFit="1" customWidth="1"/>
    <col min="5" max="5" width="13.5546875" bestFit="1" customWidth="1"/>
    <col min="6" max="6" width="10.33203125" bestFit="1" customWidth="1"/>
    <col min="7" max="7" width="15.33203125" customWidth="1"/>
    <col min="8" max="8" width="13.88671875" bestFit="1" customWidth="1"/>
    <col min="9" max="9" width="19.109375" bestFit="1" customWidth="1"/>
    <col min="10" max="10" width="19.21875" customWidth="1"/>
    <col min="11" max="11" width="15" customWidth="1"/>
    <col min="12" max="12" width="15.33203125" customWidth="1"/>
    <col min="13" max="13" width="15.21875" customWidth="1"/>
    <col min="14" max="14" width="20" customWidth="1"/>
    <col min="15" max="15" width="18" customWidth="1"/>
  </cols>
  <sheetData>
    <row r="1" spans="1:16" ht="21">
      <c r="A1" s="12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6" s="23" customFormat="1" ht="35.4" customHeight="1">
      <c r="A2" s="23" t="s">
        <v>33</v>
      </c>
      <c r="B2" s="23" t="s">
        <v>34</v>
      </c>
      <c r="C2" s="23" t="s">
        <v>5</v>
      </c>
      <c r="D2" s="23" t="s">
        <v>35</v>
      </c>
      <c r="E2" s="23" t="s">
        <v>36</v>
      </c>
      <c r="F2" s="23" t="s">
        <v>37</v>
      </c>
      <c r="G2" s="23" t="s">
        <v>38</v>
      </c>
      <c r="H2" s="23" t="s">
        <v>39</v>
      </c>
      <c r="I2" s="23" t="s">
        <v>40</v>
      </c>
      <c r="J2" s="23" t="s">
        <v>41</v>
      </c>
      <c r="K2" s="23" t="s">
        <v>30</v>
      </c>
      <c r="L2" s="23" t="s">
        <v>42</v>
      </c>
      <c r="M2" s="23" t="s">
        <v>27</v>
      </c>
      <c r="N2" s="23" t="s">
        <v>43</v>
      </c>
      <c r="O2" s="23" t="s">
        <v>44</v>
      </c>
      <c r="P2" s="23" t="s">
        <v>272</v>
      </c>
    </row>
    <row r="3" spans="1:16">
      <c r="A3" t="s">
        <v>13</v>
      </c>
      <c r="B3" t="s">
        <v>55</v>
      </c>
      <c r="C3" t="s">
        <v>10</v>
      </c>
      <c r="D3">
        <f>'Attendance Sheet'!AJ4</f>
        <v>26</v>
      </c>
      <c r="E3">
        <f>'Attendance Sheet'!AK4</f>
        <v>0</v>
      </c>
      <c r="F3">
        <f>'Attendance Sheet'!AL4</f>
        <v>4</v>
      </c>
      <c r="G3">
        <f t="shared" ref="G3:G8" si="0">IF(C3="Driver", 25000, IF(C3="Supervisor", 45000, 55000))</f>
        <v>55000</v>
      </c>
      <c r="H3">
        <f t="shared" ref="H3:H66" si="1">ROUND(G3/30, 0)</f>
        <v>1833</v>
      </c>
      <c r="I3">
        <f t="shared" ref="I3:I8" si="2">G3-(E3*H3)</f>
        <v>55000</v>
      </c>
      <c r="J3">
        <f t="shared" ref="J3:J8" si="3">IF(C3="Driver", D3*500, 0)</f>
        <v>0</v>
      </c>
      <c r="K3">
        <f t="shared" ref="K3:K8" si="4">I3+J3</f>
        <v>55000</v>
      </c>
      <c r="L3">
        <v>0</v>
      </c>
      <c r="M3">
        <v>0</v>
      </c>
      <c r="N3">
        <v>0</v>
      </c>
      <c r="O3">
        <f t="shared" ref="O3:O8" si="5">K3-N3</f>
        <v>55000</v>
      </c>
      <c r="P3" t="s">
        <v>273</v>
      </c>
    </row>
    <row r="4" spans="1:16">
      <c r="A4" t="s">
        <v>45</v>
      </c>
      <c r="B4" t="s">
        <v>56</v>
      </c>
      <c r="C4" t="s">
        <v>10</v>
      </c>
      <c r="D4">
        <f>'Attendance Sheet'!AJ5</f>
        <v>26</v>
      </c>
      <c r="E4">
        <f>'Attendance Sheet'!AK5</f>
        <v>0</v>
      </c>
      <c r="F4">
        <f>'Attendance Sheet'!AL5</f>
        <v>4</v>
      </c>
      <c r="G4">
        <f t="shared" si="0"/>
        <v>55000</v>
      </c>
      <c r="H4">
        <f t="shared" si="1"/>
        <v>1833</v>
      </c>
      <c r="I4">
        <f t="shared" si="2"/>
        <v>55000</v>
      </c>
      <c r="J4">
        <f t="shared" si="3"/>
        <v>0</v>
      </c>
      <c r="K4">
        <f t="shared" si="4"/>
        <v>55000</v>
      </c>
      <c r="L4">
        <v>0</v>
      </c>
      <c r="M4">
        <v>0</v>
      </c>
      <c r="N4">
        <v>0</v>
      </c>
      <c r="O4">
        <f t="shared" si="5"/>
        <v>55000</v>
      </c>
      <c r="P4" t="s">
        <v>273</v>
      </c>
    </row>
    <row r="5" spans="1:16">
      <c r="A5" t="s">
        <v>46</v>
      </c>
      <c r="B5" t="s">
        <v>57</v>
      </c>
      <c r="C5" t="s">
        <v>10</v>
      </c>
      <c r="D5">
        <f>'Attendance Sheet'!AJ6</f>
        <v>26</v>
      </c>
      <c r="E5">
        <f>'Attendance Sheet'!AK6</f>
        <v>0</v>
      </c>
      <c r="F5">
        <f>'Attendance Sheet'!AL6</f>
        <v>4</v>
      </c>
      <c r="G5">
        <f t="shared" si="0"/>
        <v>55000</v>
      </c>
      <c r="H5">
        <f t="shared" si="1"/>
        <v>1833</v>
      </c>
      <c r="I5">
        <f t="shared" si="2"/>
        <v>55000</v>
      </c>
      <c r="J5">
        <f t="shared" si="3"/>
        <v>0</v>
      </c>
      <c r="K5">
        <f t="shared" si="4"/>
        <v>55000</v>
      </c>
      <c r="L5">
        <v>0</v>
      </c>
      <c r="M5">
        <v>0</v>
      </c>
      <c r="N5">
        <v>0</v>
      </c>
      <c r="O5">
        <f t="shared" si="5"/>
        <v>55000</v>
      </c>
      <c r="P5" t="s">
        <v>273</v>
      </c>
    </row>
    <row r="6" spans="1:16">
      <c r="A6" t="s">
        <v>47</v>
      </c>
      <c r="B6" t="s">
        <v>59</v>
      </c>
      <c r="C6" t="s">
        <v>9</v>
      </c>
      <c r="D6">
        <f>'Attendance Sheet'!AJ7</f>
        <v>26</v>
      </c>
      <c r="E6">
        <f>'Attendance Sheet'!AK7</f>
        <v>0</v>
      </c>
      <c r="F6">
        <f>'Attendance Sheet'!AL7</f>
        <v>4</v>
      </c>
      <c r="G6">
        <f t="shared" si="0"/>
        <v>45000</v>
      </c>
      <c r="H6">
        <f t="shared" si="1"/>
        <v>1500</v>
      </c>
      <c r="I6">
        <f t="shared" si="2"/>
        <v>45000</v>
      </c>
      <c r="J6">
        <f t="shared" si="3"/>
        <v>0</v>
      </c>
      <c r="K6">
        <f t="shared" si="4"/>
        <v>45000</v>
      </c>
      <c r="L6">
        <v>0</v>
      </c>
      <c r="M6">
        <v>0</v>
      </c>
      <c r="N6">
        <v>0</v>
      </c>
      <c r="O6">
        <f t="shared" si="5"/>
        <v>45000</v>
      </c>
      <c r="P6" t="s">
        <v>273</v>
      </c>
    </row>
    <row r="7" spans="1:16">
      <c r="A7" t="s">
        <v>48</v>
      </c>
      <c r="B7" t="s">
        <v>61</v>
      </c>
      <c r="C7" t="s">
        <v>8</v>
      </c>
      <c r="D7">
        <f>'Attendance Sheet'!AJ8</f>
        <v>26</v>
      </c>
      <c r="E7">
        <f>'Attendance Sheet'!AK8</f>
        <v>0</v>
      </c>
      <c r="F7">
        <f>'Attendance Sheet'!AL8</f>
        <v>4</v>
      </c>
      <c r="G7">
        <f t="shared" si="0"/>
        <v>25000</v>
      </c>
      <c r="H7">
        <f t="shared" si="1"/>
        <v>833</v>
      </c>
      <c r="I7">
        <f t="shared" si="2"/>
        <v>25000</v>
      </c>
      <c r="J7">
        <f t="shared" si="3"/>
        <v>13000</v>
      </c>
      <c r="K7">
        <f t="shared" si="4"/>
        <v>38000</v>
      </c>
      <c r="L7">
        <v>0</v>
      </c>
      <c r="M7">
        <v>0</v>
      </c>
      <c r="N7">
        <v>0</v>
      </c>
      <c r="O7">
        <f t="shared" si="5"/>
        <v>38000</v>
      </c>
      <c r="P7" t="s">
        <v>273</v>
      </c>
    </row>
    <row r="8" spans="1:16">
      <c r="A8" t="s">
        <v>49</v>
      </c>
      <c r="B8" t="s">
        <v>63</v>
      </c>
      <c r="C8" t="s">
        <v>8</v>
      </c>
      <c r="D8">
        <f>'Attendance Sheet'!AJ9</f>
        <v>23</v>
      </c>
      <c r="E8">
        <f>'Attendance Sheet'!AK9</f>
        <v>3</v>
      </c>
      <c r="F8">
        <f>'Attendance Sheet'!AL9</f>
        <v>4</v>
      </c>
      <c r="G8">
        <f t="shared" si="0"/>
        <v>25000</v>
      </c>
      <c r="H8">
        <f t="shared" si="1"/>
        <v>833</v>
      </c>
      <c r="I8">
        <f t="shared" si="2"/>
        <v>22501</v>
      </c>
      <c r="J8">
        <f t="shared" si="3"/>
        <v>11500</v>
      </c>
      <c r="K8">
        <f t="shared" si="4"/>
        <v>34001</v>
      </c>
      <c r="L8">
        <v>0</v>
      </c>
      <c r="M8">
        <v>0</v>
      </c>
      <c r="N8">
        <v>0</v>
      </c>
      <c r="O8">
        <f t="shared" si="5"/>
        <v>34001</v>
      </c>
      <c r="P8" t="s">
        <v>273</v>
      </c>
    </row>
    <row r="9" spans="1:16">
      <c r="A9" t="s">
        <v>66</v>
      </c>
      <c r="B9" t="s">
        <v>67</v>
      </c>
      <c r="C9" t="s">
        <v>8</v>
      </c>
      <c r="D9">
        <f>'Attendance Sheet'!AJ10</f>
        <v>26</v>
      </c>
      <c r="E9">
        <f>'Attendance Sheet'!AK10</f>
        <v>0</v>
      </c>
      <c r="F9">
        <f>'Attendance Sheet'!AL10</f>
        <v>4</v>
      </c>
      <c r="G9">
        <f t="shared" ref="G9:G53" si="6">IF(C9="Driver", 25000, IF(C9="Supervisor", 45000, 55000))</f>
        <v>25000</v>
      </c>
      <c r="H9">
        <f t="shared" si="1"/>
        <v>833</v>
      </c>
      <c r="I9">
        <f t="shared" ref="I9:I53" si="7">G9-(E9*H9)</f>
        <v>25000</v>
      </c>
      <c r="J9">
        <f t="shared" ref="J9:J53" si="8">IF(C9="Driver", D9*500, 0)</f>
        <v>13000</v>
      </c>
      <c r="K9">
        <f t="shared" ref="K9:K53" si="9">I9+J9</f>
        <v>38000</v>
      </c>
      <c r="L9">
        <v>0</v>
      </c>
      <c r="M9">
        <v>0</v>
      </c>
      <c r="N9">
        <v>0</v>
      </c>
      <c r="O9">
        <f t="shared" ref="O9:O53" si="10">K9-N9</f>
        <v>38000</v>
      </c>
      <c r="P9" t="s">
        <v>273</v>
      </c>
    </row>
    <row r="10" spans="1:16">
      <c r="A10" t="s">
        <v>69</v>
      </c>
      <c r="B10" t="s">
        <v>70</v>
      </c>
      <c r="C10" t="s">
        <v>8</v>
      </c>
      <c r="D10">
        <f>'Attendance Sheet'!AJ11</f>
        <v>26</v>
      </c>
      <c r="E10">
        <f>'Attendance Sheet'!AK11</f>
        <v>0</v>
      </c>
      <c r="F10">
        <f>'Attendance Sheet'!AL11</f>
        <v>4</v>
      </c>
      <c r="G10">
        <f t="shared" si="6"/>
        <v>25000</v>
      </c>
      <c r="H10">
        <f t="shared" si="1"/>
        <v>833</v>
      </c>
      <c r="I10">
        <f t="shared" si="7"/>
        <v>25000</v>
      </c>
      <c r="J10">
        <f t="shared" si="8"/>
        <v>13000</v>
      </c>
      <c r="K10">
        <f t="shared" si="9"/>
        <v>38000</v>
      </c>
      <c r="L10">
        <v>0</v>
      </c>
      <c r="M10">
        <v>0</v>
      </c>
      <c r="N10">
        <v>0</v>
      </c>
      <c r="O10">
        <f t="shared" si="10"/>
        <v>38000</v>
      </c>
      <c r="P10" t="s">
        <v>273</v>
      </c>
    </row>
    <row r="11" spans="1:16">
      <c r="A11" t="s">
        <v>72</v>
      </c>
      <c r="B11" t="s">
        <v>73</v>
      </c>
      <c r="C11" t="s">
        <v>8</v>
      </c>
      <c r="D11">
        <f>'Attendance Sheet'!AJ12</f>
        <v>26</v>
      </c>
      <c r="E11">
        <f>'Attendance Sheet'!AK12</f>
        <v>0</v>
      </c>
      <c r="F11">
        <f>'Attendance Sheet'!AL12</f>
        <v>4</v>
      </c>
      <c r="G11">
        <f t="shared" si="6"/>
        <v>25000</v>
      </c>
      <c r="H11">
        <f t="shared" si="1"/>
        <v>833</v>
      </c>
      <c r="I11">
        <f t="shared" si="7"/>
        <v>25000</v>
      </c>
      <c r="J11">
        <f t="shared" si="8"/>
        <v>13000</v>
      </c>
      <c r="K11">
        <f t="shared" si="9"/>
        <v>38000</v>
      </c>
      <c r="L11">
        <v>0</v>
      </c>
      <c r="M11">
        <v>0</v>
      </c>
      <c r="N11">
        <v>0</v>
      </c>
      <c r="O11">
        <f t="shared" si="10"/>
        <v>38000</v>
      </c>
      <c r="P11" t="s">
        <v>273</v>
      </c>
    </row>
    <row r="12" spans="1:16">
      <c r="A12" t="s">
        <v>75</v>
      </c>
      <c r="B12" t="s">
        <v>76</v>
      </c>
      <c r="C12" t="s">
        <v>8</v>
      </c>
      <c r="D12">
        <f>'Attendance Sheet'!AJ13</f>
        <v>26</v>
      </c>
      <c r="E12">
        <f>'Attendance Sheet'!AK13</f>
        <v>0</v>
      </c>
      <c r="F12">
        <f>'Attendance Sheet'!AL13</f>
        <v>4</v>
      </c>
      <c r="G12">
        <f t="shared" si="6"/>
        <v>25000</v>
      </c>
      <c r="H12">
        <f t="shared" si="1"/>
        <v>833</v>
      </c>
      <c r="I12">
        <f t="shared" si="7"/>
        <v>25000</v>
      </c>
      <c r="J12">
        <f t="shared" si="8"/>
        <v>13000</v>
      </c>
      <c r="K12">
        <f t="shared" si="9"/>
        <v>38000</v>
      </c>
      <c r="L12">
        <v>0</v>
      </c>
      <c r="M12">
        <v>0</v>
      </c>
      <c r="N12">
        <v>0</v>
      </c>
      <c r="O12">
        <f t="shared" si="10"/>
        <v>38000</v>
      </c>
      <c r="P12" t="s">
        <v>273</v>
      </c>
    </row>
    <row r="13" spans="1:16">
      <c r="A13" t="s">
        <v>78</v>
      </c>
      <c r="B13" t="s">
        <v>79</v>
      </c>
      <c r="C13" t="s">
        <v>8</v>
      </c>
      <c r="D13">
        <f>'Attendance Sheet'!AJ14</f>
        <v>22</v>
      </c>
      <c r="E13">
        <f>'Attendance Sheet'!AK14</f>
        <v>4</v>
      </c>
      <c r="F13">
        <f>'Attendance Sheet'!AL14</f>
        <v>4</v>
      </c>
      <c r="G13">
        <f t="shared" si="6"/>
        <v>25000</v>
      </c>
      <c r="H13">
        <f t="shared" si="1"/>
        <v>833</v>
      </c>
      <c r="I13">
        <f t="shared" si="7"/>
        <v>21668</v>
      </c>
      <c r="J13">
        <f t="shared" si="8"/>
        <v>11000</v>
      </c>
      <c r="K13">
        <f t="shared" si="9"/>
        <v>32668</v>
      </c>
      <c r="L13">
        <v>0</v>
      </c>
      <c r="M13">
        <v>0</v>
      </c>
      <c r="N13">
        <v>0</v>
      </c>
      <c r="O13">
        <f t="shared" si="10"/>
        <v>32668</v>
      </c>
      <c r="P13" t="s">
        <v>273</v>
      </c>
    </row>
    <row r="14" spans="1:16">
      <c r="A14" t="s">
        <v>81</v>
      </c>
      <c r="B14" t="s">
        <v>82</v>
      </c>
      <c r="C14" t="s">
        <v>8</v>
      </c>
      <c r="D14">
        <f>'Attendance Sheet'!AJ15</f>
        <v>26</v>
      </c>
      <c r="E14">
        <f>'Attendance Sheet'!AK15</f>
        <v>0</v>
      </c>
      <c r="F14">
        <f>'Attendance Sheet'!AL15</f>
        <v>4</v>
      </c>
      <c r="G14">
        <f t="shared" si="6"/>
        <v>25000</v>
      </c>
      <c r="H14">
        <f t="shared" si="1"/>
        <v>833</v>
      </c>
      <c r="I14">
        <f t="shared" si="7"/>
        <v>25000</v>
      </c>
      <c r="J14">
        <f t="shared" si="8"/>
        <v>13000</v>
      </c>
      <c r="K14">
        <f t="shared" si="9"/>
        <v>38000</v>
      </c>
      <c r="L14">
        <v>0</v>
      </c>
      <c r="M14">
        <v>0</v>
      </c>
      <c r="N14">
        <v>0</v>
      </c>
      <c r="O14">
        <f t="shared" si="10"/>
        <v>38000</v>
      </c>
      <c r="P14" t="s">
        <v>273</v>
      </c>
    </row>
    <row r="15" spans="1:16">
      <c r="A15" t="s">
        <v>84</v>
      </c>
      <c r="B15" t="s">
        <v>85</v>
      </c>
      <c r="C15" t="s">
        <v>8</v>
      </c>
      <c r="D15">
        <f>'Attendance Sheet'!AJ16</f>
        <v>24</v>
      </c>
      <c r="E15">
        <f>'Attendance Sheet'!AK16</f>
        <v>2</v>
      </c>
      <c r="F15">
        <f>'Attendance Sheet'!AL16</f>
        <v>4</v>
      </c>
      <c r="G15">
        <f t="shared" si="6"/>
        <v>25000</v>
      </c>
      <c r="H15">
        <f t="shared" si="1"/>
        <v>833</v>
      </c>
      <c r="I15">
        <f t="shared" si="7"/>
        <v>23334</v>
      </c>
      <c r="J15">
        <f t="shared" si="8"/>
        <v>12000</v>
      </c>
      <c r="K15">
        <f t="shared" si="9"/>
        <v>35334</v>
      </c>
      <c r="L15">
        <v>0</v>
      </c>
      <c r="M15">
        <v>0</v>
      </c>
      <c r="N15">
        <v>0</v>
      </c>
      <c r="O15">
        <f t="shared" si="10"/>
        <v>35334</v>
      </c>
      <c r="P15" t="s">
        <v>273</v>
      </c>
    </row>
    <row r="16" spans="1:16">
      <c r="A16" t="s">
        <v>87</v>
      </c>
      <c r="B16" t="s">
        <v>88</v>
      </c>
      <c r="C16" t="s">
        <v>8</v>
      </c>
      <c r="D16">
        <f>'Attendance Sheet'!AJ17</f>
        <v>25</v>
      </c>
      <c r="E16">
        <f>'Attendance Sheet'!AK17</f>
        <v>1</v>
      </c>
      <c r="F16">
        <f>'Attendance Sheet'!AL17</f>
        <v>4</v>
      </c>
      <c r="G16">
        <f t="shared" si="6"/>
        <v>25000</v>
      </c>
      <c r="H16">
        <f t="shared" si="1"/>
        <v>833</v>
      </c>
      <c r="I16">
        <f t="shared" si="7"/>
        <v>24167</v>
      </c>
      <c r="J16">
        <f t="shared" si="8"/>
        <v>12500</v>
      </c>
      <c r="K16">
        <f t="shared" si="9"/>
        <v>36667</v>
      </c>
      <c r="L16">
        <v>0</v>
      </c>
      <c r="M16">
        <v>0</v>
      </c>
      <c r="N16">
        <v>0</v>
      </c>
      <c r="O16">
        <f t="shared" si="10"/>
        <v>36667</v>
      </c>
      <c r="P16" t="s">
        <v>273</v>
      </c>
    </row>
    <row r="17" spans="1:16">
      <c r="A17" t="s">
        <v>90</v>
      </c>
      <c r="B17" t="s">
        <v>91</v>
      </c>
      <c r="C17" t="s">
        <v>8</v>
      </c>
      <c r="D17">
        <f>'Attendance Sheet'!AJ18</f>
        <v>25</v>
      </c>
      <c r="E17">
        <f>'Attendance Sheet'!AK18</f>
        <v>1</v>
      </c>
      <c r="F17">
        <f>'Attendance Sheet'!AL18</f>
        <v>4</v>
      </c>
      <c r="G17">
        <f t="shared" si="6"/>
        <v>25000</v>
      </c>
      <c r="H17">
        <f t="shared" si="1"/>
        <v>833</v>
      </c>
      <c r="I17">
        <f t="shared" si="7"/>
        <v>24167</v>
      </c>
      <c r="J17">
        <f t="shared" si="8"/>
        <v>12500</v>
      </c>
      <c r="K17">
        <f t="shared" si="9"/>
        <v>36667</v>
      </c>
      <c r="L17">
        <v>0</v>
      </c>
      <c r="M17">
        <v>0</v>
      </c>
      <c r="N17">
        <v>0</v>
      </c>
      <c r="O17">
        <f t="shared" si="10"/>
        <v>36667</v>
      </c>
      <c r="P17" t="s">
        <v>273</v>
      </c>
    </row>
    <row r="18" spans="1:16">
      <c r="A18" t="s">
        <v>93</v>
      </c>
      <c r="B18" t="s">
        <v>94</v>
      </c>
      <c r="C18" t="s">
        <v>8</v>
      </c>
      <c r="D18">
        <f>'Attendance Sheet'!AJ19</f>
        <v>23</v>
      </c>
      <c r="E18">
        <f>'Attendance Sheet'!AK19</f>
        <v>3</v>
      </c>
      <c r="F18">
        <f>'Attendance Sheet'!AL19</f>
        <v>4</v>
      </c>
      <c r="G18">
        <f t="shared" si="6"/>
        <v>25000</v>
      </c>
      <c r="H18">
        <f t="shared" si="1"/>
        <v>833</v>
      </c>
      <c r="I18">
        <f t="shared" si="7"/>
        <v>22501</v>
      </c>
      <c r="J18">
        <f t="shared" si="8"/>
        <v>11500</v>
      </c>
      <c r="K18">
        <f t="shared" si="9"/>
        <v>34001</v>
      </c>
      <c r="L18">
        <v>0</v>
      </c>
      <c r="M18">
        <v>0</v>
      </c>
      <c r="N18">
        <v>0</v>
      </c>
      <c r="O18">
        <f t="shared" si="10"/>
        <v>34001</v>
      </c>
      <c r="P18" t="s">
        <v>273</v>
      </c>
    </row>
    <row r="19" spans="1:16">
      <c r="A19" t="s">
        <v>96</v>
      </c>
      <c r="B19" t="s">
        <v>97</v>
      </c>
      <c r="C19" t="s">
        <v>8</v>
      </c>
      <c r="D19">
        <f>'Attendance Sheet'!AJ20</f>
        <v>22</v>
      </c>
      <c r="E19">
        <f>'Attendance Sheet'!AK20</f>
        <v>4</v>
      </c>
      <c r="F19">
        <f>'Attendance Sheet'!AL20</f>
        <v>4</v>
      </c>
      <c r="G19">
        <f t="shared" si="6"/>
        <v>25000</v>
      </c>
      <c r="H19">
        <f t="shared" si="1"/>
        <v>833</v>
      </c>
      <c r="I19">
        <f t="shared" si="7"/>
        <v>21668</v>
      </c>
      <c r="J19">
        <f t="shared" si="8"/>
        <v>11000</v>
      </c>
      <c r="K19">
        <f t="shared" si="9"/>
        <v>32668</v>
      </c>
      <c r="L19">
        <v>0</v>
      </c>
      <c r="M19">
        <v>0</v>
      </c>
      <c r="N19">
        <v>0</v>
      </c>
      <c r="O19">
        <f t="shared" si="10"/>
        <v>32668</v>
      </c>
      <c r="P19" t="s">
        <v>273</v>
      </c>
    </row>
    <row r="20" spans="1:16">
      <c r="A20" t="s">
        <v>99</v>
      </c>
      <c r="B20" t="s">
        <v>100</v>
      </c>
      <c r="C20" t="s">
        <v>8</v>
      </c>
      <c r="D20">
        <f>'Attendance Sheet'!AJ21</f>
        <v>26</v>
      </c>
      <c r="E20">
        <f>'Attendance Sheet'!AK21</f>
        <v>0</v>
      </c>
      <c r="F20">
        <f>'Attendance Sheet'!AL21</f>
        <v>4</v>
      </c>
      <c r="G20">
        <f t="shared" si="6"/>
        <v>25000</v>
      </c>
      <c r="H20">
        <f t="shared" si="1"/>
        <v>833</v>
      </c>
      <c r="I20">
        <f t="shared" si="7"/>
        <v>25000</v>
      </c>
      <c r="J20">
        <f t="shared" si="8"/>
        <v>13000</v>
      </c>
      <c r="K20">
        <f t="shared" si="9"/>
        <v>38000</v>
      </c>
      <c r="L20">
        <v>0</v>
      </c>
      <c r="M20">
        <v>0</v>
      </c>
      <c r="N20">
        <v>0</v>
      </c>
      <c r="O20">
        <f t="shared" si="10"/>
        <v>38000</v>
      </c>
      <c r="P20" t="s">
        <v>273</v>
      </c>
    </row>
    <row r="21" spans="1:16">
      <c r="A21" t="s">
        <v>102</v>
      </c>
      <c r="B21" t="s">
        <v>103</v>
      </c>
      <c r="C21" t="s">
        <v>8</v>
      </c>
      <c r="D21">
        <f>'Attendance Sheet'!AJ22</f>
        <v>24</v>
      </c>
      <c r="E21">
        <f>'Attendance Sheet'!AK22</f>
        <v>2</v>
      </c>
      <c r="F21">
        <f>'Attendance Sheet'!AL22</f>
        <v>4</v>
      </c>
      <c r="G21">
        <f t="shared" si="6"/>
        <v>25000</v>
      </c>
      <c r="H21">
        <f t="shared" si="1"/>
        <v>833</v>
      </c>
      <c r="I21">
        <f t="shared" si="7"/>
        <v>23334</v>
      </c>
      <c r="J21">
        <f t="shared" si="8"/>
        <v>12000</v>
      </c>
      <c r="K21">
        <f t="shared" si="9"/>
        <v>35334</v>
      </c>
      <c r="L21">
        <v>0</v>
      </c>
      <c r="M21">
        <v>0</v>
      </c>
      <c r="N21">
        <v>0</v>
      </c>
      <c r="O21">
        <f t="shared" si="10"/>
        <v>35334</v>
      </c>
      <c r="P21" t="s">
        <v>273</v>
      </c>
    </row>
    <row r="22" spans="1:16">
      <c r="A22" t="s">
        <v>105</v>
      </c>
      <c r="B22" t="s">
        <v>106</v>
      </c>
      <c r="C22" t="s">
        <v>8</v>
      </c>
      <c r="D22">
        <f>'Attendance Sheet'!AJ23</f>
        <v>26</v>
      </c>
      <c r="E22">
        <f>'Attendance Sheet'!AK23</f>
        <v>0</v>
      </c>
      <c r="F22">
        <f>'Attendance Sheet'!AL23</f>
        <v>4</v>
      </c>
      <c r="G22">
        <f t="shared" si="6"/>
        <v>25000</v>
      </c>
      <c r="H22">
        <f t="shared" si="1"/>
        <v>833</v>
      </c>
      <c r="I22">
        <f t="shared" si="7"/>
        <v>25000</v>
      </c>
      <c r="J22">
        <f t="shared" si="8"/>
        <v>13000</v>
      </c>
      <c r="K22">
        <f t="shared" si="9"/>
        <v>38000</v>
      </c>
      <c r="L22">
        <v>0</v>
      </c>
      <c r="M22">
        <v>0</v>
      </c>
      <c r="N22">
        <v>0</v>
      </c>
      <c r="O22">
        <f t="shared" si="10"/>
        <v>38000</v>
      </c>
      <c r="P22" t="s">
        <v>273</v>
      </c>
    </row>
    <row r="23" spans="1:16">
      <c r="A23" t="s">
        <v>108</v>
      </c>
      <c r="B23" t="s">
        <v>109</v>
      </c>
      <c r="C23" t="s">
        <v>8</v>
      </c>
      <c r="D23">
        <f>'Attendance Sheet'!AJ24</f>
        <v>25</v>
      </c>
      <c r="E23">
        <f>'Attendance Sheet'!AK24</f>
        <v>1</v>
      </c>
      <c r="F23">
        <f>'Attendance Sheet'!AL24</f>
        <v>4</v>
      </c>
      <c r="G23">
        <f t="shared" si="6"/>
        <v>25000</v>
      </c>
      <c r="H23">
        <f t="shared" si="1"/>
        <v>833</v>
      </c>
      <c r="I23">
        <f t="shared" si="7"/>
        <v>24167</v>
      </c>
      <c r="J23">
        <f t="shared" si="8"/>
        <v>12500</v>
      </c>
      <c r="K23">
        <f t="shared" si="9"/>
        <v>36667</v>
      </c>
      <c r="L23">
        <v>0</v>
      </c>
      <c r="M23">
        <v>0</v>
      </c>
      <c r="N23">
        <v>0</v>
      </c>
      <c r="O23">
        <f t="shared" si="10"/>
        <v>36667</v>
      </c>
      <c r="P23" t="s">
        <v>273</v>
      </c>
    </row>
    <row r="24" spans="1:16">
      <c r="A24" t="s">
        <v>111</v>
      </c>
      <c r="B24" t="s">
        <v>112</v>
      </c>
      <c r="C24" t="s">
        <v>8</v>
      </c>
      <c r="D24">
        <f>'Attendance Sheet'!AJ25</f>
        <v>26</v>
      </c>
      <c r="E24">
        <f>'Attendance Sheet'!AK25</f>
        <v>0</v>
      </c>
      <c r="F24">
        <f>'Attendance Sheet'!AL25</f>
        <v>4</v>
      </c>
      <c r="G24">
        <f t="shared" si="6"/>
        <v>25000</v>
      </c>
      <c r="H24">
        <f t="shared" si="1"/>
        <v>833</v>
      </c>
      <c r="I24">
        <f t="shared" si="7"/>
        <v>25000</v>
      </c>
      <c r="J24">
        <f t="shared" si="8"/>
        <v>13000</v>
      </c>
      <c r="K24">
        <f t="shared" si="9"/>
        <v>38000</v>
      </c>
      <c r="L24">
        <v>0</v>
      </c>
      <c r="M24">
        <v>0</v>
      </c>
      <c r="N24">
        <v>0</v>
      </c>
      <c r="O24">
        <f t="shared" si="10"/>
        <v>38000</v>
      </c>
      <c r="P24" t="s">
        <v>273</v>
      </c>
    </row>
    <row r="25" spans="1:16">
      <c r="A25" t="s">
        <v>114</v>
      </c>
      <c r="B25" t="s">
        <v>115</v>
      </c>
      <c r="C25" t="s">
        <v>8</v>
      </c>
      <c r="D25">
        <f>'Attendance Sheet'!AJ26</f>
        <v>24</v>
      </c>
      <c r="E25">
        <f>'Attendance Sheet'!AK26</f>
        <v>1</v>
      </c>
      <c r="F25">
        <f>'Attendance Sheet'!AL26</f>
        <v>4</v>
      </c>
      <c r="G25">
        <f t="shared" si="6"/>
        <v>25000</v>
      </c>
      <c r="H25">
        <f t="shared" si="1"/>
        <v>833</v>
      </c>
      <c r="I25">
        <f t="shared" si="7"/>
        <v>24167</v>
      </c>
      <c r="J25">
        <f t="shared" si="8"/>
        <v>12000</v>
      </c>
      <c r="K25">
        <f t="shared" si="9"/>
        <v>36167</v>
      </c>
      <c r="L25">
        <v>0</v>
      </c>
      <c r="M25">
        <v>0</v>
      </c>
      <c r="N25">
        <v>0</v>
      </c>
      <c r="O25">
        <f t="shared" si="10"/>
        <v>36167</v>
      </c>
      <c r="P25" t="s">
        <v>273</v>
      </c>
    </row>
    <row r="26" spans="1:16">
      <c r="A26" t="s">
        <v>117</v>
      </c>
      <c r="B26" t="s">
        <v>118</v>
      </c>
      <c r="C26" t="s">
        <v>8</v>
      </c>
      <c r="D26">
        <f>'Attendance Sheet'!AJ27</f>
        <v>24</v>
      </c>
      <c r="E26">
        <f>'Attendance Sheet'!AK27</f>
        <v>2</v>
      </c>
      <c r="F26">
        <f>'Attendance Sheet'!AL27</f>
        <v>4</v>
      </c>
      <c r="G26">
        <f t="shared" si="6"/>
        <v>25000</v>
      </c>
      <c r="H26">
        <f t="shared" si="1"/>
        <v>833</v>
      </c>
      <c r="I26">
        <f t="shared" si="7"/>
        <v>23334</v>
      </c>
      <c r="J26">
        <f t="shared" si="8"/>
        <v>12000</v>
      </c>
      <c r="K26">
        <f t="shared" si="9"/>
        <v>35334</v>
      </c>
      <c r="L26">
        <v>0</v>
      </c>
      <c r="M26">
        <v>0</v>
      </c>
      <c r="N26">
        <v>0</v>
      </c>
      <c r="O26">
        <f t="shared" si="10"/>
        <v>35334</v>
      </c>
      <c r="P26" t="s">
        <v>273</v>
      </c>
    </row>
    <row r="27" spans="1:16">
      <c r="A27" t="s">
        <v>120</v>
      </c>
      <c r="B27" t="s">
        <v>121</v>
      </c>
      <c r="C27" t="s">
        <v>8</v>
      </c>
      <c r="D27">
        <f>'Attendance Sheet'!AJ28</f>
        <v>25</v>
      </c>
      <c r="E27">
        <f>'Attendance Sheet'!AK28</f>
        <v>1</v>
      </c>
      <c r="F27">
        <f>'Attendance Sheet'!AL28</f>
        <v>4</v>
      </c>
      <c r="G27">
        <f t="shared" si="6"/>
        <v>25000</v>
      </c>
      <c r="H27">
        <f t="shared" si="1"/>
        <v>833</v>
      </c>
      <c r="I27">
        <f t="shared" si="7"/>
        <v>24167</v>
      </c>
      <c r="J27">
        <f t="shared" si="8"/>
        <v>12500</v>
      </c>
      <c r="K27">
        <f t="shared" si="9"/>
        <v>36667</v>
      </c>
      <c r="L27">
        <v>0</v>
      </c>
      <c r="M27">
        <v>0</v>
      </c>
      <c r="N27">
        <v>0</v>
      </c>
      <c r="O27">
        <f t="shared" si="10"/>
        <v>36667</v>
      </c>
      <c r="P27" t="s">
        <v>273</v>
      </c>
    </row>
    <row r="28" spans="1:16">
      <c r="A28" t="s">
        <v>123</v>
      </c>
      <c r="B28" t="s">
        <v>124</v>
      </c>
      <c r="C28" t="s">
        <v>8</v>
      </c>
      <c r="D28">
        <f>'Attendance Sheet'!AJ29</f>
        <v>26</v>
      </c>
      <c r="E28">
        <f>'Attendance Sheet'!AK29</f>
        <v>0</v>
      </c>
      <c r="F28">
        <f>'Attendance Sheet'!AL29</f>
        <v>4</v>
      </c>
      <c r="G28">
        <f t="shared" si="6"/>
        <v>25000</v>
      </c>
      <c r="H28">
        <f t="shared" si="1"/>
        <v>833</v>
      </c>
      <c r="I28">
        <f t="shared" si="7"/>
        <v>25000</v>
      </c>
      <c r="J28">
        <f t="shared" si="8"/>
        <v>13000</v>
      </c>
      <c r="K28">
        <f t="shared" si="9"/>
        <v>38000</v>
      </c>
      <c r="L28">
        <v>0</v>
      </c>
      <c r="M28">
        <v>0</v>
      </c>
      <c r="N28">
        <v>0</v>
      </c>
      <c r="O28">
        <f t="shared" si="10"/>
        <v>38000</v>
      </c>
      <c r="P28" t="s">
        <v>273</v>
      </c>
    </row>
    <row r="29" spans="1:16">
      <c r="A29" t="s">
        <v>126</v>
      </c>
      <c r="B29" t="s">
        <v>127</v>
      </c>
      <c r="C29" t="s">
        <v>8</v>
      </c>
      <c r="D29">
        <f>'Attendance Sheet'!AJ30</f>
        <v>26</v>
      </c>
      <c r="E29">
        <f>'Attendance Sheet'!AK30</f>
        <v>0</v>
      </c>
      <c r="F29">
        <f>'Attendance Sheet'!AL30</f>
        <v>4</v>
      </c>
      <c r="G29">
        <f t="shared" si="6"/>
        <v>25000</v>
      </c>
      <c r="H29">
        <f t="shared" si="1"/>
        <v>833</v>
      </c>
      <c r="I29">
        <f t="shared" si="7"/>
        <v>25000</v>
      </c>
      <c r="J29">
        <f t="shared" si="8"/>
        <v>13000</v>
      </c>
      <c r="K29">
        <f t="shared" si="9"/>
        <v>38000</v>
      </c>
      <c r="L29">
        <v>0</v>
      </c>
      <c r="M29">
        <v>0</v>
      </c>
      <c r="N29">
        <v>0</v>
      </c>
      <c r="O29">
        <f t="shared" si="10"/>
        <v>38000</v>
      </c>
      <c r="P29" t="s">
        <v>273</v>
      </c>
    </row>
    <row r="30" spans="1:16">
      <c r="A30" t="s">
        <v>129</v>
      </c>
      <c r="B30" t="s">
        <v>130</v>
      </c>
      <c r="C30" t="s">
        <v>8</v>
      </c>
      <c r="D30">
        <f>'Attendance Sheet'!AJ31</f>
        <v>26</v>
      </c>
      <c r="E30">
        <f>'Attendance Sheet'!AK31</f>
        <v>0</v>
      </c>
      <c r="F30">
        <f>'Attendance Sheet'!AL31</f>
        <v>4</v>
      </c>
      <c r="G30">
        <f t="shared" si="6"/>
        <v>25000</v>
      </c>
      <c r="H30">
        <f t="shared" si="1"/>
        <v>833</v>
      </c>
      <c r="I30">
        <f t="shared" si="7"/>
        <v>25000</v>
      </c>
      <c r="J30">
        <f t="shared" si="8"/>
        <v>13000</v>
      </c>
      <c r="K30">
        <f t="shared" si="9"/>
        <v>38000</v>
      </c>
      <c r="L30">
        <v>0</v>
      </c>
      <c r="M30">
        <v>0</v>
      </c>
      <c r="N30">
        <v>0</v>
      </c>
      <c r="O30">
        <f t="shared" si="10"/>
        <v>38000</v>
      </c>
      <c r="P30" t="s">
        <v>273</v>
      </c>
    </row>
    <row r="31" spans="1:16">
      <c r="A31" t="s">
        <v>131</v>
      </c>
      <c r="B31" t="s">
        <v>132</v>
      </c>
      <c r="C31" t="s">
        <v>8</v>
      </c>
      <c r="D31">
        <f>'Attendance Sheet'!AJ32</f>
        <v>26</v>
      </c>
      <c r="E31">
        <f>'Attendance Sheet'!AK32</f>
        <v>0</v>
      </c>
      <c r="F31">
        <f>'Attendance Sheet'!AL32</f>
        <v>4</v>
      </c>
      <c r="G31">
        <f t="shared" si="6"/>
        <v>25000</v>
      </c>
      <c r="H31">
        <f t="shared" si="1"/>
        <v>833</v>
      </c>
      <c r="I31">
        <f t="shared" si="7"/>
        <v>25000</v>
      </c>
      <c r="J31">
        <f t="shared" si="8"/>
        <v>13000</v>
      </c>
      <c r="K31">
        <f t="shared" si="9"/>
        <v>38000</v>
      </c>
      <c r="L31">
        <v>0</v>
      </c>
      <c r="M31">
        <v>0</v>
      </c>
      <c r="N31">
        <v>0</v>
      </c>
      <c r="O31">
        <f t="shared" si="10"/>
        <v>38000</v>
      </c>
      <c r="P31" t="s">
        <v>273</v>
      </c>
    </row>
    <row r="32" spans="1:16">
      <c r="A32" t="s">
        <v>134</v>
      </c>
      <c r="B32" t="s">
        <v>135</v>
      </c>
      <c r="C32" t="s">
        <v>8</v>
      </c>
      <c r="D32">
        <f>'Attendance Sheet'!AJ33</f>
        <v>26</v>
      </c>
      <c r="E32">
        <f>'Attendance Sheet'!AK33</f>
        <v>0</v>
      </c>
      <c r="F32">
        <f>'Attendance Sheet'!AL33</f>
        <v>4</v>
      </c>
      <c r="G32">
        <f t="shared" si="6"/>
        <v>25000</v>
      </c>
      <c r="H32">
        <f t="shared" si="1"/>
        <v>833</v>
      </c>
      <c r="I32">
        <f t="shared" si="7"/>
        <v>25000</v>
      </c>
      <c r="J32">
        <f t="shared" si="8"/>
        <v>13000</v>
      </c>
      <c r="K32">
        <f t="shared" si="9"/>
        <v>38000</v>
      </c>
      <c r="L32">
        <v>0</v>
      </c>
      <c r="M32">
        <v>0</v>
      </c>
      <c r="N32">
        <v>0</v>
      </c>
      <c r="O32">
        <f t="shared" si="10"/>
        <v>38000</v>
      </c>
      <c r="P32" t="s">
        <v>273</v>
      </c>
    </row>
    <row r="33" spans="1:16">
      <c r="A33" t="s">
        <v>136</v>
      </c>
      <c r="B33" t="s">
        <v>137</v>
      </c>
      <c r="C33" t="s">
        <v>8</v>
      </c>
      <c r="D33">
        <f>'Attendance Sheet'!AJ34</f>
        <v>26</v>
      </c>
      <c r="E33">
        <f>'Attendance Sheet'!AK34</f>
        <v>0</v>
      </c>
      <c r="F33">
        <f>'Attendance Sheet'!AL34</f>
        <v>4</v>
      </c>
      <c r="G33">
        <f t="shared" si="6"/>
        <v>25000</v>
      </c>
      <c r="H33">
        <f t="shared" si="1"/>
        <v>833</v>
      </c>
      <c r="I33">
        <f t="shared" si="7"/>
        <v>25000</v>
      </c>
      <c r="J33">
        <f t="shared" si="8"/>
        <v>13000</v>
      </c>
      <c r="K33">
        <f t="shared" si="9"/>
        <v>38000</v>
      </c>
      <c r="L33">
        <v>0</v>
      </c>
      <c r="M33">
        <v>0</v>
      </c>
      <c r="N33">
        <v>0</v>
      </c>
      <c r="O33">
        <f t="shared" si="10"/>
        <v>38000</v>
      </c>
      <c r="P33" t="s">
        <v>273</v>
      </c>
    </row>
    <row r="34" spans="1:16">
      <c r="A34" t="s">
        <v>139</v>
      </c>
      <c r="B34" t="s">
        <v>140</v>
      </c>
      <c r="C34" t="s">
        <v>8</v>
      </c>
      <c r="D34">
        <f>'Attendance Sheet'!AJ35</f>
        <v>26</v>
      </c>
      <c r="E34">
        <f>'Attendance Sheet'!AK35</f>
        <v>0</v>
      </c>
      <c r="F34">
        <f>'Attendance Sheet'!AL35</f>
        <v>4</v>
      </c>
      <c r="G34">
        <f t="shared" si="6"/>
        <v>25000</v>
      </c>
      <c r="H34">
        <f t="shared" si="1"/>
        <v>833</v>
      </c>
      <c r="I34">
        <f t="shared" si="7"/>
        <v>25000</v>
      </c>
      <c r="J34">
        <f t="shared" si="8"/>
        <v>13000</v>
      </c>
      <c r="K34">
        <f t="shared" si="9"/>
        <v>38000</v>
      </c>
      <c r="L34">
        <v>0</v>
      </c>
      <c r="M34">
        <v>0</v>
      </c>
      <c r="N34">
        <v>0</v>
      </c>
      <c r="O34">
        <f t="shared" si="10"/>
        <v>38000</v>
      </c>
      <c r="P34" t="s">
        <v>273</v>
      </c>
    </row>
    <row r="35" spans="1:16">
      <c r="A35" t="s">
        <v>141</v>
      </c>
      <c r="B35" t="s">
        <v>142</v>
      </c>
      <c r="C35" t="s">
        <v>8</v>
      </c>
      <c r="D35">
        <f>'Attendance Sheet'!AJ36</f>
        <v>26</v>
      </c>
      <c r="E35">
        <f>'Attendance Sheet'!AK36</f>
        <v>0</v>
      </c>
      <c r="F35">
        <f>'Attendance Sheet'!AL36</f>
        <v>4</v>
      </c>
      <c r="G35">
        <f t="shared" si="6"/>
        <v>25000</v>
      </c>
      <c r="H35">
        <f t="shared" si="1"/>
        <v>833</v>
      </c>
      <c r="I35">
        <f t="shared" si="7"/>
        <v>25000</v>
      </c>
      <c r="J35">
        <f t="shared" si="8"/>
        <v>13000</v>
      </c>
      <c r="K35">
        <f t="shared" si="9"/>
        <v>38000</v>
      </c>
      <c r="L35">
        <v>0</v>
      </c>
      <c r="M35">
        <v>0</v>
      </c>
      <c r="N35">
        <v>0</v>
      </c>
      <c r="O35">
        <f t="shared" si="10"/>
        <v>38000</v>
      </c>
      <c r="P35" t="s">
        <v>273</v>
      </c>
    </row>
    <row r="36" spans="1:16">
      <c r="A36" t="s">
        <v>144</v>
      </c>
      <c r="B36" t="s">
        <v>145</v>
      </c>
      <c r="C36" t="s">
        <v>8</v>
      </c>
      <c r="D36">
        <f>'Attendance Sheet'!AJ37</f>
        <v>26</v>
      </c>
      <c r="E36">
        <f>'Attendance Sheet'!AK37</f>
        <v>0</v>
      </c>
      <c r="F36">
        <f>'Attendance Sheet'!AL37</f>
        <v>4</v>
      </c>
      <c r="G36">
        <f t="shared" si="6"/>
        <v>25000</v>
      </c>
      <c r="H36">
        <f t="shared" si="1"/>
        <v>833</v>
      </c>
      <c r="I36">
        <f t="shared" si="7"/>
        <v>25000</v>
      </c>
      <c r="J36">
        <f t="shared" si="8"/>
        <v>13000</v>
      </c>
      <c r="K36">
        <f t="shared" si="9"/>
        <v>38000</v>
      </c>
      <c r="L36">
        <v>0</v>
      </c>
      <c r="M36">
        <v>0</v>
      </c>
      <c r="N36">
        <v>0</v>
      </c>
      <c r="O36">
        <f t="shared" si="10"/>
        <v>38000</v>
      </c>
      <c r="P36" t="s">
        <v>273</v>
      </c>
    </row>
    <row r="37" spans="1:16">
      <c r="A37" t="s">
        <v>146</v>
      </c>
      <c r="B37" t="s">
        <v>147</v>
      </c>
      <c r="C37" t="s">
        <v>8</v>
      </c>
      <c r="D37">
        <f>'Attendance Sheet'!AJ38</f>
        <v>23</v>
      </c>
      <c r="E37">
        <f>'Attendance Sheet'!AK38</f>
        <v>3</v>
      </c>
      <c r="F37">
        <f>'Attendance Sheet'!AL38</f>
        <v>4</v>
      </c>
      <c r="G37">
        <f t="shared" si="6"/>
        <v>25000</v>
      </c>
      <c r="H37">
        <f t="shared" si="1"/>
        <v>833</v>
      </c>
      <c r="I37">
        <f t="shared" si="7"/>
        <v>22501</v>
      </c>
      <c r="J37">
        <f t="shared" si="8"/>
        <v>11500</v>
      </c>
      <c r="K37">
        <f t="shared" si="9"/>
        <v>34001</v>
      </c>
      <c r="L37">
        <v>0</v>
      </c>
      <c r="M37">
        <v>0</v>
      </c>
      <c r="N37">
        <v>0</v>
      </c>
      <c r="O37">
        <f t="shared" si="10"/>
        <v>34001</v>
      </c>
      <c r="P37" t="s">
        <v>273</v>
      </c>
    </row>
    <row r="38" spans="1:16">
      <c r="A38" t="s">
        <v>149</v>
      </c>
      <c r="B38" t="s">
        <v>150</v>
      </c>
      <c r="C38" t="s">
        <v>8</v>
      </c>
      <c r="D38">
        <f>'Attendance Sheet'!AJ39</f>
        <v>26</v>
      </c>
      <c r="E38">
        <f>'Attendance Sheet'!AK39</f>
        <v>0</v>
      </c>
      <c r="F38">
        <f>'Attendance Sheet'!AL39</f>
        <v>4</v>
      </c>
      <c r="G38">
        <f t="shared" si="6"/>
        <v>25000</v>
      </c>
      <c r="H38">
        <f t="shared" si="1"/>
        <v>833</v>
      </c>
      <c r="I38">
        <f t="shared" si="7"/>
        <v>25000</v>
      </c>
      <c r="J38">
        <f t="shared" si="8"/>
        <v>13000</v>
      </c>
      <c r="K38">
        <f t="shared" si="9"/>
        <v>38000</v>
      </c>
      <c r="L38">
        <v>0</v>
      </c>
      <c r="M38">
        <v>0</v>
      </c>
      <c r="N38">
        <v>0</v>
      </c>
      <c r="O38">
        <f t="shared" si="10"/>
        <v>38000</v>
      </c>
      <c r="P38" t="s">
        <v>273</v>
      </c>
    </row>
    <row r="39" spans="1:16">
      <c r="A39" t="s">
        <v>152</v>
      </c>
      <c r="B39" t="s">
        <v>153</v>
      </c>
      <c r="C39" t="s">
        <v>8</v>
      </c>
      <c r="D39">
        <f>'Attendance Sheet'!AJ40</f>
        <v>22</v>
      </c>
      <c r="E39">
        <f>'Attendance Sheet'!AK40</f>
        <v>4</v>
      </c>
      <c r="F39">
        <f>'Attendance Sheet'!AL40</f>
        <v>4</v>
      </c>
      <c r="G39">
        <f t="shared" si="6"/>
        <v>25000</v>
      </c>
      <c r="H39">
        <f t="shared" si="1"/>
        <v>833</v>
      </c>
      <c r="I39">
        <f t="shared" si="7"/>
        <v>21668</v>
      </c>
      <c r="J39">
        <f t="shared" si="8"/>
        <v>11000</v>
      </c>
      <c r="K39">
        <f t="shared" si="9"/>
        <v>32668</v>
      </c>
      <c r="L39">
        <v>0</v>
      </c>
      <c r="M39">
        <v>0</v>
      </c>
      <c r="N39">
        <v>0</v>
      </c>
      <c r="O39">
        <f t="shared" si="10"/>
        <v>32668</v>
      </c>
      <c r="P39" t="s">
        <v>273</v>
      </c>
    </row>
    <row r="40" spans="1:16">
      <c r="A40" t="s">
        <v>155</v>
      </c>
      <c r="B40" t="s">
        <v>156</v>
      </c>
      <c r="C40" t="s">
        <v>8</v>
      </c>
      <c r="D40">
        <f>'Attendance Sheet'!AJ41</f>
        <v>26</v>
      </c>
      <c r="E40">
        <f>'Attendance Sheet'!AK41</f>
        <v>0</v>
      </c>
      <c r="F40">
        <f>'Attendance Sheet'!AL41</f>
        <v>4</v>
      </c>
      <c r="G40">
        <f t="shared" si="6"/>
        <v>25000</v>
      </c>
      <c r="H40">
        <f t="shared" si="1"/>
        <v>833</v>
      </c>
      <c r="I40">
        <f t="shared" si="7"/>
        <v>25000</v>
      </c>
      <c r="J40">
        <f t="shared" si="8"/>
        <v>13000</v>
      </c>
      <c r="K40">
        <f t="shared" si="9"/>
        <v>38000</v>
      </c>
      <c r="L40">
        <v>0</v>
      </c>
      <c r="M40">
        <v>0</v>
      </c>
      <c r="N40">
        <v>0</v>
      </c>
      <c r="O40">
        <f t="shared" si="10"/>
        <v>38000</v>
      </c>
      <c r="P40" t="s">
        <v>273</v>
      </c>
    </row>
    <row r="41" spans="1:16">
      <c r="A41" t="s">
        <v>158</v>
      </c>
      <c r="B41" t="s">
        <v>159</v>
      </c>
      <c r="C41" t="s">
        <v>8</v>
      </c>
      <c r="D41">
        <f>'Attendance Sheet'!AJ42</f>
        <v>20</v>
      </c>
      <c r="E41">
        <f>'Attendance Sheet'!AK42</f>
        <v>6</v>
      </c>
      <c r="F41">
        <f>'Attendance Sheet'!AL42</f>
        <v>4</v>
      </c>
      <c r="G41">
        <f t="shared" si="6"/>
        <v>25000</v>
      </c>
      <c r="H41">
        <f t="shared" si="1"/>
        <v>833</v>
      </c>
      <c r="I41">
        <f t="shared" si="7"/>
        <v>20002</v>
      </c>
      <c r="J41">
        <f t="shared" si="8"/>
        <v>10000</v>
      </c>
      <c r="K41">
        <f t="shared" si="9"/>
        <v>30002</v>
      </c>
      <c r="L41">
        <v>0</v>
      </c>
      <c r="M41">
        <v>0</v>
      </c>
      <c r="N41">
        <v>0</v>
      </c>
      <c r="O41">
        <f t="shared" si="10"/>
        <v>30002</v>
      </c>
      <c r="P41" t="s">
        <v>273</v>
      </c>
    </row>
    <row r="42" spans="1:16">
      <c r="A42" t="s">
        <v>161</v>
      </c>
      <c r="C42" t="s">
        <v>8</v>
      </c>
      <c r="D42">
        <f>'Attendance Sheet'!AJ43</f>
        <v>24</v>
      </c>
      <c r="E42">
        <f>'Attendance Sheet'!AK43</f>
        <v>2</v>
      </c>
      <c r="F42">
        <f>'Attendance Sheet'!AL43</f>
        <v>4</v>
      </c>
      <c r="G42">
        <f t="shared" si="6"/>
        <v>25000</v>
      </c>
      <c r="H42">
        <f t="shared" si="1"/>
        <v>833</v>
      </c>
      <c r="I42">
        <f t="shared" si="7"/>
        <v>23334</v>
      </c>
      <c r="J42">
        <f t="shared" si="8"/>
        <v>12000</v>
      </c>
      <c r="K42">
        <f t="shared" si="9"/>
        <v>35334</v>
      </c>
      <c r="L42">
        <v>0</v>
      </c>
      <c r="M42">
        <v>0</v>
      </c>
      <c r="N42">
        <v>0</v>
      </c>
      <c r="O42">
        <f t="shared" si="10"/>
        <v>35334</v>
      </c>
      <c r="P42" t="s">
        <v>273</v>
      </c>
    </row>
    <row r="43" spans="1:16">
      <c r="A43" t="s">
        <v>162</v>
      </c>
      <c r="B43" t="s">
        <v>163</v>
      </c>
      <c r="C43" t="s">
        <v>8</v>
      </c>
      <c r="D43">
        <f>'Attendance Sheet'!AJ44</f>
        <v>25</v>
      </c>
      <c r="E43">
        <f>'Attendance Sheet'!AK44</f>
        <v>1</v>
      </c>
      <c r="F43">
        <f>'Attendance Sheet'!AL44</f>
        <v>4</v>
      </c>
      <c r="G43">
        <f t="shared" si="6"/>
        <v>25000</v>
      </c>
      <c r="H43">
        <f t="shared" si="1"/>
        <v>833</v>
      </c>
      <c r="I43">
        <f t="shared" si="7"/>
        <v>24167</v>
      </c>
      <c r="J43">
        <f t="shared" si="8"/>
        <v>12500</v>
      </c>
      <c r="K43">
        <f t="shared" si="9"/>
        <v>36667</v>
      </c>
      <c r="L43">
        <v>0</v>
      </c>
      <c r="M43">
        <v>0</v>
      </c>
      <c r="N43">
        <v>0</v>
      </c>
      <c r="O43">
        <f t="shared" si="10"/>
        <v>36667</v>
      </c>
      <c r="P43" t="s">
        <v>273</v>
      </c>
    </row>
    <row r="44" spans="1:16">
      <c r="A44" t="s">
        <v>165</v>
      </c>
      <c r="B44" t="s">
        <v>166</v>
      </c>
      <c r="C44" t="s">
        <v>8</v>
      </c>
      <c r="D44">
        <f>'Attendance Sheet'!AJ45</f>
        <v>23</v>
      </c>
      <c r="E44">
        <f>'Attendance Sheet'!AK45</f>
        <v>3</v>
      </c>
      <c r="F44">
        <f>'Attendance Sheet'!AL45</f>
        <v>4</v>
      </c>
      <c r="G44">
        <f t="shared" si="6"/>
        <v>25000</v>
      </c>
      <c r="H44">
        <f t="shared" si="1"/>
        <v>833</v>
      </c>
      <c r="I44">
        <f t="shared" si="7"/>
        <v>22501</v>
      </c>
      <c r="J44">
        <f t="shared" si="8"/>
        <v>11500</v>
      </c>
      <c r="K44">
        <f t="shared" si="9"/>
        <v>34001</v>
      </c>
      <c r="L44">
        <v>0</v>
      </c>
      <c r="M44">
        <v>0</v>
      </c>
      <c r="N44">
        <v>0</v>
      </c>
      <c r="O44">
        <f t="shared" si="10"/>
        <v>34001</v>
      </c>
      <c r="P44" t="s">
        <v>273</v>
      </c>
    </row>
    <row r="45" spans="1:16">
      <c r="A45" t="s">
        <v>168</v>
      </c>
      <c r="B45" t="s">
        <v>169</v>
      </c>
      <c r="C45" t="s">
        <v>8</v>
      </c>
      <c r="D45">
        <f>'Attendance Sheet'!AJ46</f>
        <v>26</v>
      </c>
      <c r="E45">
        <f>'Attendance Sheet'!AK46</f>
        <v>0</v>
      </c>
      <c r="F45">
        <f>'Attendance Sheet'!AL46</f>
        <v>4</v>
      </c>
      <c r="G45">
        <f t="shared" si="6"/>
        <v>25000</v>
      </c>
      <c r="H45">
        <f t="shared" si="1"/>
        <v>833</v>
      </c>
      <c r="I45">
        <f t="shared" si="7"/>
        <v>25000</v>
      </c>
      <c r="J45">
        <f t="shared" si="8"/>
        <v>13000</v>
      </c>
      <c r="K45">
        <f t="shared" si="9"/>
        <v>38000</v>
      </c>
      <c r="L45">
        <v>0</v>
      </c>
      <c r="M45">
        <v>0</v>
      </c>
      <c r="N45">
        <v>0</v>
      </c>
      <c r="O45">
        <f t="shared" si="10"/>
        <v>38000</v>
      </c>
      <c r="P45" t="s">
        <v>273</v>
      </c>
    </row>
    <row r="46" spans="1:16">
      <c r="A46" t="s">
        <v>171</v>
      </c>
      <c r="B46" t="s">
        <v>172</v>
      </c>
      <c r="C46" t="s">
        <v>8</v>
      </c>
      <c r="D46">
        <f>'Attendance Sheet'!AJ47</f>
        <v>24</v>
      </c>
      <c r="E46">
        <f>'Attendance Sheet'!AK47</f>
        <v>2</v>
      </c>
      <c r="F46">
        <f>'Attendance Sheet'!AL47</f>
        <v>4</v>
      </c>
      <c r="G46">
        <f t="shared" si="6"/>
        <v>25000</v>
      </c>
      <c r="H46">
        <f t="shared" si="1"/>
        <v>833</v>
      </c>
      <c r="I46">
        <f t="shared" si="7"/>
        <v>23334</v>
      </c>
      <c r="J46">
        <f t="shared" si="8"/>
        <v>12000</v>
      </c>
      <c r="K46">
        <f t="shared" si="9"/>
        <v>35334</v>
      </c>
      <c r="L46">
        <v>0</v>
      </c>
      <c r="M46">
        <v>0</v>
      </c>
      <c r="N46">
        <v>0</v>
      </c>
      <c r="O46">
        <f t="shared" si="10"/>
        <v>35334</v>
      </c>
      <c r="P46" t="s">
        <v>273</v>
      </c>
    </row>
    <row r="47" spans="1:16">
      <c r="A47" t="s">
        <v>173</v>
      </c>
      <c r="B47" t="s">
        <v>174</v>
      </c>
      <c r="C47" t="s">
        <v>8</v>
      </c>
      <c r="D47">
        <f>'Attendance Sheet'!AJ48</f>
        <v>24</v>
      </c>
      <c r="E47">
        <f>'Attendance Sheet'!AK48</f>
        <v>2</v>
      </c>
      <c r="F47">
        <f>'Attendance Sheet'!AL48</f>
        <v>4</v>
      </c>
      <c r="G47">
        <f t="shared" si="6"/>
        <v>25000</v>
      </c>
      <c r="H47">
        <f t="shared" si="1"/>
        <v>833</v>
      </c>
      <c r="I47">
        <f t="shared" si="7"/>
        <v>23334</v>
      </c>
      <c r="J47">
        <f t="shared" si="8"/>
        <v>12000</v>
      </c>
      <c r="K47">
        <f t="shared" si="9"/>
        <v>35334</v>
      </c>
      <c r="L47">
        <v>0</v>
      </c>
      <c r="M47">
        <v>0</v>
      </c>
      <c r="N47">
        <v>0</v>
      </c>
      <c r="O47">
        <f t="shared" si="10"/>
        <v>35334</v>
      </c>
      <c r="P47" t="s">
        <v>273</v>
      </c>
    </row>
    <row r="48" spans="1:16">
      <c r="A48" t="s">
        <v>176</v>
      </c>
      <c r="B48" t="s">
        <v>177</v>
      </c>
      <c r="C48" t="s">
        <v>8</v>
      </c>
      <c r="D48">
        <f>'Attendance Sheet'!AJ49</f>
        <v>24</v>
      </c>
      <c r="E48">
        <f>'Attendance Sheet'!AK49</f>
        <v>2</v>
      </c>
      <c r="F48">
        <f>'Attendance Sheet'!AL49</f>
        <v>4</v>
      </c>
      <c r="G48">
        <f t="shared" si="6"/>
        <v>25000</v>
      </c>
      <c r="H48">
        <f t="shared" si="1"/>
        <v>833</v>
      </c>
      <c r="I48">
        <f t="shared" si="7"/>
        <v>23334</v>
      </c>
      <c r="J48">
        <f t="shared" si="8"/>
        <v>12000</v>
      </c>
      <c r="K48">
        <f t="shared" si="9"/>
        <v>35334</v>
      </c>
      <c r="L48">
        <v>0</v>
      </c>
      <c r="M48">
        <v>0</v>
      </c>
      <c r="N48">
        <v>0</v>
      </c>
      <c r="O48">
        <f t="shared" si="10"/>
        <v>35334</v>
      </c>
      <c r="P48" t="s">
        <v>273</v>
      </c>
    </row>
    <row r="49" spans="1:16">
      <c r="A49" t="s">
        <v>179</v>
      </c>
      <c r="B49" t="s">
        <v>180</v>
      </c>
      <c r="C49" t="s">
        <v>8</v>
      </c>
      <c r="D49">
        <f>'Attendance Sheet'!AJ50</f>
        <v>26</v>
      </c>
      <c r="E49">
        <f>'Attendance Sheet'!AK50</f>
        <v>0</v>
      </c>
      <c r="F49">
        <f>'Attendance Sheet'!AL50</f>
        <v>4</v>
      </c>
      <c r="G49">
        <f t="shared" si="6"/>
        <v>25000</v>
      </c>
      <c r="H49">
        <f t="shared" si="1"/>
        <v>833</v>
      </c>
      <c r="I49">
        <f t="shared" si="7"/>
        <v>25000</v>
      </c>
      <c r="J49">
        <f t="shared" si="8"/>
        <v>13000</v>
      </c>
      <c r="K49">
        <f t="shared" si="9"/>
        <v>38000</v>
      </c>
      <c r="L49">
        <v>0</v>
      </c>
      <c r="M49">
        <v>0</v>
      </c>
      <c r="N49">
        <v>0</v>
      </c>
      <c r="O49">
        <f t="shared" si="10"/>
        <v>38000</v>
      </c>
      <c r="P49" t="s">
        <v>273</v>
      </c>
    </row>
    <row r="50" spans="1:16">
      <c r="A50" t="s">
        <v>182</v>
      </c>
      <c r="C50" t="s">
        <v>8</v>
      </c>
      <c r="D50">
        <f>'Attendance Sheet'!AJ51</f>
        <v>26</v>
      </c>
      <c r="E50">
        <f>'Attendance Sheet'!AK51</f>
        <v>0</v>
      </c>
      <c r="F50">
        <f>'Attendance Sheet'!AL51</f>
        <v>4</v>
      </c>
      <c r="G50">
        <f t="shared" si="6"/>
        <v>25000</v>
      </c>
      <c r="H50">
        <f t="shared" si="1"/>
        <v>833</v>
      </c>
      <c r="I50">
        <f t="shared" si="7"/>
        <v>25000</v>
      </c>
      <c r="J50">
        <f t="shared" si="8"/>
        <v>13000</v>
      </c>
      <c r="K50">
        <f t="shared" si="9"/>
        <v>38000</v>
      </c>
      <c r="L50">
        <v>0</v>
      </c>
      <c r="M50">
        <v>0</v>
      </c>
      <c r="N50">
        <v>0</v>
      </c>
      <c r="O50">
        <f t="shared" si="10"/>
        <v>38000</v>
      </c>
      <c r="P50" t="s">
        <v>273</v>
      </c>
    </row>
    <row r="51" spans="1:16">
      <c r="A51" t="s">
        <v>183</v>
      </c>
      <c r="B51" t="s">
        <v>184</v>
      </c>
      <c r="C51" t="s">
        <v>8</v>
      </c>
      <c r="D51">
        <f>'Attendance Sheet'!AJ52</f>
        <v>21</v>
      </c>
      <c r="E51">
        <f>'Attendance Sheet'!AK52</f>
        <v>5</v>
      </c>
      <c r="F51">
        <f>'Attendance Sheet'!AL52</f>
        <v>4</v>
      </c>
      <c r="G51">
        <f t="shared" si="6"/>
        <v>25000</v>
      </c>
      <c r="H51">
        <f t="shared" si="1"/>
        <v>833</v>
      </c>
      <c r="I51">
        <f t="shared" si="7"/>
        <v>20835</v>
      </c>
      <c r="J51">
        <f t="shared" si="8"/>
        <v>10500</v>
      </c>
      <c r="K51">
        <f t="shared" si="9"/>
        <v>31335</v>
      </c>
      <c r="L51">
        <v>0</v>
      </c>
      <c r="M51">
        <v>0</v>
      </c>
      <c r="N51">
        <v>0</v>
      </c>
      <c r="O51">
        <f t="shared" si="10"/>
        <v>31335</v>
      </c>
      <c r="P51" t="s">
        <v>273</v>
      </c>
    </row>
    <row r="52" spans="1:16">
      <c r="A52" t="s">
        <v>186</v>
      </c>
      <c r="B52" t="s">
        <v>187</v>
      </c>
      <c r="C52" t="s">
        <v>8</v>
      </c>
      <c r="D52">
        <f>'Attendance Sheet'!AJ53</f>
        <v>21</v>
      </c>
      <c r="E52">
        <f>'Attendance Sheet'!AK53</f>
        <v>5</v>
      </c>
      <c r="F52">
        <f>'Attendance Sheet'!AL53</f>
        <v>4</v>
      </c>
      <c r="G52">
        <f t="shared" si="6"/>
        <v>25000</v>
      </c>
      <c r="H52">
        <f t="shared" si="1"/>
        <v>833</v>
      </c>
      <c r="I52">
        <f t="shared" si="7"/>
        <v>20835</v>
      </c>
      <c r="J52">
        <f t="shared" si="8"/>
        <v>10500</v>
      </c>
      <c r="K52">
        <f t="shared" si="9"/>
        <v>31335</v>
      </c>
      <c r="L52">
        <v>0</v>
      </c>
      <c r="M52">
        <v>0</v>
      </c>
      <c r="N52">
        <v>0</v>
      </c>
      <c r="O52">
        <f t="shared" si="10"/>
        <v>31335</v>
      </c>
      <c r="P52" t="s">
        <v>273</v>
      </c>
    </row>
    <row r="53" spans="1:16">
      <c r="A53" t="s">
        <v>189</v>
      </c>
      <c r="B53" t="s">
        <v>190</v>
      </c>
      <c r="C53" t="s">
        <v>8</v>
      </c>
      <c r="D53">
        <f>'Attendance Sheet'!AJ54</f>
        <v>21</v>
      </c>
      <c r="E53">
        <f>'Attendance Sheet'!AK54</f>
        <v>5</v>
      </c>
      <c r="F53">
        <f>'Attendance Sheet'!AL54</f>
        <v>4</v>
      </c>
      <c r="G53">
        <f t="shared" si="6"/>
        <v>25000</v>
      </c>
      <c r="H53">
        <f t="shared" si="1"/>
        <v>833</v>
      </c>
      <c r="I53">
        <f t="shared" si="7"/>
        <v>20835</v>
      </c>
      <c r="J53">
        <f t="shared" si="8"/>
        <v>10500</v>
      </c>
      <c r="K53">
        <f t="shared" si="9"/>
        <v>31335</v>
      </c>
      <c r="L53">
        <v>0</v>
      </c>
      <c r="M53">
        <v>0</v>
      </c>
      <c r="N53">
        <v>0</v>
      </c>
      <c r="O53">
        <f t="shared" si="10"/>
        <v>31335</v>
      </c>
      <c r="P53" t="s">
        <v>273</v>
      </c>
    </row>
    <row r="54" spans="1:16">
      <c r="A54" t="s">
        <v>192</v>
      </c>
      <c r="B54" t="s">
        <v>193</v>
      </c>
      <c r="C54" t="s">
        <v>8</v>
      </c>
      <c r="D54">
        <f>'Attendance Sheet'!AJ55</f>
        <v>25</v>
      </c>
      <c r="E54">
        <f>'Attendance Sheet'!AK55</f>
        <v>1</v>
      </c>
      <c r="F54">
        <f>'Attendance Sheet'!AL55</f>
        <v>4</v>
      </c>
      <c r="G54">
        <f t="shared" ref="G54:G75" si="11">IF(C54="Driver", 25000, IF(C54="Supervisor", 45000, 55000))</f>
        <v>25000</v>
      </c>
      <c r="H54">
        <f t="shared" si="1"/>
        <v>833</v>
      </c>
      <c r="I54">
        <f t="shared" ref="I54:I75" si="12">G54-(E54*H54)</f>
        <v>24167</v>
      </c>
      <c r="J54">
        <f t="shared" ref="J54:J75" si="13">IF(C54="Driver", D54*500, 0)</f>
        <v>12500</v>
      </c>
      <c r="K54">
        <f t="shared" ref="K54:K75" si="14">I54+J54</f>
        <v>36667</v>
      </c>
      <c r="L54">
        <v>0</v>
      </c>
      <c r="M54">
        <v>0</v>
      </c>
      <c r="N54">
        <v>0</v>
      </c>
      <c r="O54">
        <f t="shared" ref="O54:O75" si="15">K54-N54</f>
        <v>36667</v>
      </c>
      <c r="P54" t="s">
        <v>273</v>
      </c>
    </row>
    <row r="55" spans="1:16">
      <c r="A55" t="s">
        <v>194</v>
      </c>
      <c r="B55" t="s">
        <v>195</v>
      </c>
      <c r="C55" t="s">
        <v>8</v>
      </c>
      <c r="D55">
        <f>'Attendance Sheet'!AJ56</f>
        <v>25</v>
      </c>
      <c r="E55">
        <f>'Attendance Sheet'!AK56</f>
        <v>1</v>
      </c>
      <c r="F55">
        <f>'Attendance Sheet'!AL56</f>
        <v>4</v>
      </c>
      <c r="G55">
        <f t="shared" si="11"/>
        <v>25000</v>
      </c>
      <c r="H55">
        <f t="shared" si="1"/>
        <v>833</v>
      </c>
      <c r="I55">
        <f t="shared" si="12"/>
        <v>24167</v>
      </c>
      <c r="J55">
        <f t="shared" si="13"/>
        <v>12500</v>
      </c>
      <c r="K55">
        <f t="shared" si="14"/>
        <v>36667</v>
      </c>
      <c r="L55">
        <v>0</v>
      </c>
      <c r="M55">
        <v>0</v>
      </c>
      <c r="N55">
        <v>0</v>
      </c>
      <c r="O55">
        <f t="shared" si="15"/>
        <v>36667</v>
      </c>
      <c r="P55" t="s">
        <v>273</v>
      </c>
    </row>
    <row r="56" spans="1:16">
      <c r="A56" t="s">
        <v>197</v>
      </c>
      <c r="B56" t="s">
        <v>198</v>
      </c>
      <c r="C56" t="s">
        <v>8</v>
      </c>
      <c r="D56">
        <f>'Attendance Sheet'!AJ57</f>
        <v>25</v>
      </c>
      <c r="E56">
        <f>'Attendance Sheet'!AK57</f>
        <v>1</v>
      </c>
      <c r="F56">
        <f>'Attendance Sheet'!AL57</f>
        <v>4</v>
      </c>
      <c r="G56">
        <f t="shared" si="11"/>
        <v>25000</v>
      </c>
      <c r="H56">
        <f t="shared" si="1"/>
        <v>833</v>
      </c>
      <c r="I56">
        <f t="shared" si="12"/>
        <v>24167</v>
      </c>
      <c r="J56">
        <f t="shared" si="13"/>
        <v>12500</v>
      </c>
      <c r="K56">
        <f t="shared" si="14"/>
        <v>36667</v>
      </c>
      <c r="L56">
        <v>0</v>
      </c>
      <c r="M56">
        <v>0</v>
      </c>
      <c r="N56">
        <v>0</v>
      </c>
      <c r="O56">
        <f t="shared" si="15"/>
        <v>36667</v>
      </c>
      <c r="P56" t="s">
        <v>273</v>
      </c>
    </row>
    <row r="57" spans="1:16">
      <c r="A57" t="s">
        <v>200</v>
      </c>
      <c r="B57" t="s">
        <v>201</v>
      </c>
      <c r="C57" t="s">
        <v>8</v>
      </c>
      <c r="D57">
        <f>'Attendance Sheet'!AJ58</f>
        <v>18</v>
      </c>
      <c r="E57">
        <f>'Attendance Sheet'!AK58</f>
        <v>8</v>
      </c>
      <c r="F57">
        <f>'Attendance Sheet'!AL58</f>
        <v>4</v>
      </c>
      <c r="G57">
        <f t="shared" si="11"/>
        <v>25000</v>
      </c>
      <c r="H57">
        <f t="shared" si="1"/>
        <v>833</v>
      </c>
      <c r="I57">
        <f t="shared" si="12"/>
        <v>18336</v>
      </c>
      <c r="J57">
        <f t="shared" si="13"/>
        <v>9000</v>
      </c>
      <c r="K57">
        <f t="shared" si="14"/>
        <v>27336</v>
      </c>
      <c r="L57">
        <v>0</v>
      </c>
      <c r="M57">
        <v>0</v>
      </c>
      <c r="N57">
        <v>0</v>
      </c>
      <c r="O57">
        <f t="shared" si="15"/>
        <v>27336</v>
      </c>
      <c r="P57" t="s">
        <v>273</v>
      </c>
    </row>
    <row r="58" spans="1:16">
      <c r="A58" t="s">
        <v>203</v>
      </c>
      <c r="B58" t="s">
        <v>204</v>
      </c>
      <c r="C58" t="s">
        <v>8</v>
      </c>
      <c r="D58">
        <f>'Attendance Sheet'!AJ59</f>
        <v>20</v>
      </c>
      <c r="E58">
        <f>'Attendance Sheet'!AK59</f>
        <v>6</v>
      </c>
      <c r="F58">
        <f>'Attendance Sheet'!AL59</f>
        <v>4</v>
      </c>
      <c r="G58">
        <f t="shared" si="11"/>
        <v>25000</v>
      </c>
      <c r="H58">
        <f t="shared" si="1"/>
        <v>833</v>
      </c>
      <c r="I58">
        <f t="shared" si="12"/>
        <v>20002</v>
      </c>
      <c r="J58">
        <f t="shared" si="13"/>
        <v>10000</v>
      </c>
      <c r="K58">
        <f t="shared" si="14"/>
        <v>30002</v>
      </c>
      <c r="L58">
        <v>0</v>
      </c>
      <c r="M58">
        <v>0</v>
      </c>
      <c r="N58">
        <v>0</v>
      </c>
      <c r="O58">
        <f t="shared" si="15"/>
        <v>30002</v>
      </c>
      <c r="P58" t="s">
        <v>273</v>
      </c>
    </row>
    <row r="59" spans="1:16">
      <c r="A59" t="s">
        <v>205</v>
      </c>
      <c r="B59" t="s">
        <v>206</v>
      </c>
      <c r="C59" t="s">
        <v>8</v>
      </c>
      <c r="D59">
        <f>'Attendance Sheet'!AJ60</f>
        <v>13</v>
      </c>
      <c r="E59">
        <f>'Attendance Sheet'!AK60</f>
        <v>13</v>
      </c>
      <c r="F59">
        <f>'Attendance Sheet'!AL60</f>
        <v>4</v>
      </c>
      <c r="G59">
        <f t="shared" si="11"/>
        <v>25000</v>
      </c>
      <c r="H59">
        <f t="shared" si="1"/>
        <v>833</v>
      </c>
      <c r="I59">
        <f t="shared" si="12"/>
        <v>14171</v>
      </c>
      <c r="J59">
        <f t="shared" si="13"/>
        <v>6500</v>
      </c>
      <c r="K59">
        <f t="shared" si="14"/>
        <v>20671</v>
      </c>
      <c r="L59">
        <v>0</v>
      </c>
      <c r="M59">
        <v>0</v>
      </c>
      <c r="N59">
        <v>0</v>
      </c>
      <c r="O59">
        <f t="shared" si="15"/>
        <v>20671</v>
      </c>
      <c r="P59" t="s">
        <v>273</v>
      </c>
    </row>
    <row r="60" spans="1:16">
      <c r="A60" t="s">
        <v>208</v>
      </c>
      <c r="D60">
        <f>'Attendance Sheet'!AJ61</f>
        <v>0</v>
      </c>
      <c r="E60">
        <f>'Attendance Sheet'!AK61</f>
        <v>0</v>
      </c>
      <c r="F60">
        <f>'Attendance Sheet'!AL61</f>
        <v>0</v>
      </c>
      <c r="G60">
        <f t="shared" si="11"/>
        <v>55000</v>
      </c>
      <c r="H60">
        <f t="shared" si="1"/>
        <v>1833</v>
      </c>
      <c r="I60">
        <f t="shared" si="12"/>
        <v>55000</v>
      </c>
      <c r="J60">
        <f t="shared" si="13"/>
        <v>0</v>
      </c>
      <c r="K60">
        <f t="shared" si="14"/>
        <v>55000</v>
      </c>
      <c r="L60">
        <v>0</v>
      </c>
      <c r="M60">
        <v>0</v>
      </c>
      <c r="N60">
        <v>0</v>
      </c>
      <c r="O60">
        <f t="shared" si="15"/>
        <v>55000</v>
      </c>
    </row>
    <row r="61" spans="1:16">
      <c r="A61" t="s">
        <v>209</v>
      </c>
      <c r="D61">
        <f>'Attendance Sheet'!AJ62</f>
        <v>0</v>
      </c>
      <c r="E61">
        <f>'Attendance Sheet'!AK62</f>
        <v>0</v>
      </c>
      <c r="F61">
        <f>'Attendance Sheet'!AL62</f>
        <v>0</v>
      </c>
      <c r="G61">
        <f t="shared" si="11"/>
        <v>55000</v>
      </c>
      <c r="H61">
        <f t="shared" si="1"/>
        <v>1833</v>
      </c>
      <c r="I61">
        <f t="shared" si="12"/>
        <v>55000</v>
      </c>
      <c r="J61">
        <f t="shared" si="13"/>
        <v>0</v>
      </c>
      <c r="K61">
        <f t="shared" si="14"/>
        <v>55000</v>
      </c>
      <c r="L61">
        <v>0</v>
      </c>
      <c r="M61">
        <v>0</v>
      </c>
      <c r="N61">
        <v>0</v>
      </c>
      <c r="O61">
        <f t="shared" si="15"/>
        <v>55000</v>
      </c>
    </row>
    <row r="62" spans="1:16">
      <c r="A62" t="s">
        <v>210</v>
      </c>
      <c r="D62">
        <f>'Attendance Sheet'!AJ63</f>
        <v>0</v>
      </c>
      <c r="E62">
        <f>'Attendance Sheet'!AK63</f>
        <v>0</v>
      </c>
      <c r="F62">
        <f>'Attendance Sheet'!AL63</f>
        <v>0</v>
      </c>
      <c r="G62">
        <f t="shared" si="11"/>
        <v>55000</v>
      </c>
      <c r="H62">
        <f t="shared" si="1"/>
        <v>1833</v>
      </c>
      <c r="I62">
        <f t="shared" si="12"/>
        <v>55000</v>
      </c>
      <c r="J62">
        <f t="shared" si="13"/>
        <v>0</v>
      </c>
      <c r="K62">
        <f t="shared" si="14"/>
        <v>55000</v>
      </c>
      <c r="L62">
        <v>0</v>
      </c>
      <c r="M62">
        <v>0</v>
      </c>
      <c r="N62">
        <v>0</v>
      </c>
      <c r="O62">
        <f t="shared" si="15"/>
        <v>55000</v>
      </c>
    </row>
    <row r="63" spans="1:16">
      <c r="A63" t="s">
        <v>211</v>
      </c>
      <c r="D63">
        <f>'Attendance Sheet'!AJ64</f>
        <v>0</v>
      </c>
      <c r="E63">
        <f>'Attendance Sheet'!AK64</f>
        <v>0</v>
      </c>
      <c r="F63">
        <f>'Attendance Sheet'!AL64</f>
        <v>0</v>
      </c>
      <c r="G63">
        <f t="shared" si="11"/>
        <v>55000</v>
      </c>
      <c r="H63">
        <f t="shared" si="1"/>
        <v>1833</v>
      </c>
      <c r="I63">
        <f t="shared" si="12"/>
        <v>55000</v>
      </c>
      <c r="J63">
        <f t="shared" si="13"/>
        <v>0</v>
      </c>
      <c r="K63">
        <f t="shared" si="14"/>
        <v>55000</v>
      </c>
      <c r="L63">
        <v>0</v>
      </c>
      <c r="M63">
        <v>0</v>
      </c>
      <c r="N63">
        <v>0</v>
      </c>
      <c r="O63">
        <f t="shared" si="15"/>
        <v>55000</v>
      </c>
    </row>
    <row r="64" spans="1:16">
      <c r="A64" t="s">
        <v>212</v>
      </c>
      <c r="D64">
        <f>'Attendance Sheet'!AJ65</f>
        <v>0</v>
      </c>
      <c r="E64">
        <f>'Attendance Sheet'!AK65</f>
        <v>0</v>
      </c>
      <c r="F64">
        <f>'Attendance Sheet'!AL65</f>
        <v>0</v>
      </c>
      <c r="G64">
        <f t="shared" si="11"/>
        <v>55000</v>
      </c>
      <c r="H64">
        <f t="shared" si="1"/>
        <v>1833</v>
      </c>
      <c r="I64">
        <f t="shared" si="12"/>
        <v>55000</v>
      </c>
      <c r="J64">
        <f t="shared" si="13"/>
        <v>0</v>
      </c>
      <c r="K64">
        <f t="shared" si="14"/>
        <v>55000</v>
      </c>
      <c r="L64">
        <v>0</v>
      </c>
      <c r="M64">
        <v>0</v>
      </c>
      <c r="N64">
        <v>0</v>
      </c>
      <c r="O64">
        <f t="shared" si="15"/>
        <v>55000</v>
      </c>
    </row>
    <row r="65" spans="1:15">
      <c r="A65" t="s">
        <v>213</v>
      </c>
      <c r="D65">
        <f>'Attendance Sheet'!AJ66</f>
        <v>0</v>
      </c>
      <c r="E65">
        <f>'Attendance Sheet'!AK66</f>
        <v>0</v>
      </c>
      <c r="F65">
        <f>'Attendance Sheet'!AL66</f>
        <v>0</v>
      </c>
      <c r="G65">
        <f t="shared" si="11"/>
        <v>55000</v>
      </c>
      <c r="H65">
        <f t="shared" si="1"/>
        <v>1833</v>
      </c>
      <c r="I65">
        <f t="shared" si="12"/>
        <v>55000</v>
      </c>
      <c r="J65">
        <f t="shared" si="13"/>
        <v>0</v>
      </c>
      <c r="K65">
        <f t="shared" si="14"/>
        <v>55000</v>
      </c>
      <c r="L65">
        <v>0</v>
      </c>
      <c r="M65">
        <v>0</v>
      </c>
      <c r="N65">
        <v>0</v>
      </c>
      <c r="O65">
        <f t="shared" si="15"/>
        <v>55000</v>
      </c>
    </row>
    <row r="66" spans="1:15">
      <c r="A66" t="s">
        <v>214</v>
      </c>
      <c r="D66">
        <f>'Attendance Sheet'!AJ67</f>
        <v>0</v>
      </c>
      <c r="E66">
        <f>'Attendance Sheet'!AK67</f>
        <v>0</v>
      </c>
      <c r="F66">
        <f>'Attendance Sheet'!AL67</f>
        <v>0</v>
      </c>
      <c r="G66">
        <f t="shared" si="11"/>
        <v>55000</v>
      </c>
      <c r="H66">
        <f t="shared" si="1"/>
        <v>1833</v>
      </c>
      <c r="I66">
        <f t="shared" si="12"/>
        <v>55000</v>
      </c>
      <c r="J66">
        <f t="shared" si="13"/>
        <v>0</v>
      </c>
      <c r="K66">
        <f t="shared" si="14"/>
        <v>55000</v>
      </c>
      <c r="L66">
        <v>0</v>
      </c>
      <c r="M66">
        <v>0</v>
      </c>
      <c r="N66">
        <v>0</v>
      </c>
      <c r="O66">
        <f t="shared" si="15"/>
        <v>55000</v>
      </c>
    </row>
    <row r="67" spans="1:15">
      <c r="A67" t="s">
        <v>215</v>
      </c>
      <c r="D67">
        <f>'Attendance Sheet'!AJ68</f>
        <v>0</v>
      </c>
      <c r="E67">
        <f>'Attendance Sheet'!AK68</f>
        <v>0</v>
      </c>
      <c r="F67">
        <f>'Attendance Sheet'!AL68</f>
        <v>0</v>
      </c>
      <c r="G67">
        <f t="shared" si="11"/>
        <v>55000</v>
      </c>
      <c r="H67">
        <f t="shared" ref="H67:H75" si="16">ROUND(G67/30, 0)</f>
        <v>1833</v>
      </c>
      <c r="I67">
        <f t="shared" si="12"/>
        <v>55000</v>
      </c>
      <c r="J67">
        <f t="shared" si="13"/>
        <v>0</v>
      </c>
      <c r="K67">
        <f t="shared" si="14"/>
        <v>55000</v>
      </c>
      <c r="L67">
        <v>0</v>
      </c>
      <c r="M67">
        <v>0</v>
      </c>
      <c r="N67">
        <v>0</v>
      </c>
      <c r="O67">
        <f t="shared" si="15"/>
        <v>55000</v>
      </c>
    </row>
    <row r="68" spans="1:15">
      <c r="A68" t="s">
        <v>216</v>
      </c>
      <c r="D68">
        <f>'Attendance Sheet'!AJ69</f>
        <v>0</v>
      </c>
      <c r="E68">
        <f>'Attendance Sheet'!AK69</f>
        <v>0</v>
      </c>
      <c r="F68">
        <f>'Attendance Sheet'!AL69</f>
        <v>0</v>
      </c>
      <c r="G68">
        <f t="shared" si="11"/>
        <v>55000</v>
      </c>
      <c r="H68">
        <f t="shared" si="16"/>
        <v>1833</v>
      </c>
      <c r="I68">
        <f t="shared" si="12"/>
        <v>55000</v>
      </c>
      <c r="J68">
        <f t="shared" si="13"/>
        <v>0</v>
      </c>
      <c r="K68">
        <f t="shared" si="14"/>
        <v>55000</v>
      </c>
      <c r="L68">
        <v>0</v>
      </c>
      <c r="M68">
        <v>0</v>
      </c>
      <c r="N68">
        <v>0</v>
      </c>
      <c r="O68">
        <f t="shared" si="15"/>
        <v>55000</v>
      </c>
    </row>
    <row r="69" spans="1:15">
      <c r="A69" t="s">
        <v>217</v>
      </c>
      <c r="D69">
        <f>'Attendance Sheet'!AJ70</f>
        <v>0</v>
      </c>
      <c r="E69">
        <f>'Attendance Sheet'!AK70</f>
        <v>0</v>
      </c>
      <c r="F69">
        <f>'Attendance Sheet'!AL70</f>
        <v>0</v>
      </c>
      <c r="G69">
        <f t="shared" si="11"/>
        <v>55000</v>
      </c>
      <c r="H69">
        <f t="shared" si="16"/>
        <v>1833</v>
      </c>
      <c r="I69">
        <f t="shared" si="12"/>
        <v>55000</v>
      </c>
      <c r="J69">
        <f t="shared" si="13"/>
        <v>0</v>
      </c>
      <c r="K69">
        <f t="shared" si="14"/>
        <v>55000</v>
      </c>
      <c r="L69">
        <v>0</v>
      </c>
      <c r="M69">
        <v>0</v>
      </c>
      <c r="N69">
        <v>0</v>
      </c>
      <c r="O69">
        <f t="shared" si="15"/>
        <v>55000</v>
      </c>
    </row>
    <row r="70" spans="1:15">
      <c r="A70" t="s">
        <v>218</v>
      </c>
      <c r="D70">
        <f>'Attendance Sheet'!AJ71</f>
        <v>0</v>
      </c>
      <c r="E70">
        <f>'Attendance Sheet'!AK71</f>
        <v>0</v>
      </c>
      <c r="F70">
        <f>'Attendance Sheet'!AL71</f>
        <v>0</v>
      </c>
      <c r="G70">
        <f t="shared" si="11"/>
        <v>55000</v>
      </c>
      <c r="H70">
        <f t="shared" si="16"/>
        <v>1833</v>
      </c>
      <c r="I70">
        <f t="shared" si="12"/>
        <v>55000</v>
      </c>
      <c r="J70">
        <f t="shared" si="13"/>
        <v>0</v>
      </c>
      <c r="K70">
        <f t="shared" si="14"/>
        <v>55000</v>
      </c>
      <c r="L70">
        <v>0</v>
      </c>
      <c r="M70">
        <v>0</v>
      </c>
      <c r="N70">
        <v>0</v>
      </c>
      <c r="O70">
        <f t="shared" si="15"/>
        <v>55000</v>
      </c>
    </row>
    <row r="71" spans="1:15">
      <c r="A71" t="s">
        <v>219</v>
      </c>
      <c r="D71">
        <f>'Attendance Sheet'!AJ72</f>
        <v>0</v>
      </c>
      <c r="E71">
        <f>'Attendance Sheet'!AK72</f>
        <v>0</v>
      </c>
      <c r="F71">
        <f>'Attendance Sheet'!AL72</f>
        <v>0</v>
      </c>
      <c r="G71">
        <f t="shared" si="11"/>
        <v>55000</v>
      </c>
      <c r="H71">
        <f t="shared" si="16"/>
        <v>1833</v>
      </c>
      <c r="I71">
        <f t="shared" si="12"/>
        <v>55000</v>
      </c>
      <c r="J71">
        <f t="shared" si="13"/>
        <v>0</v>
      </c>
      <c r="K71">
        <f t="shared" si="14"/>
        <v>55000</v>
      </c>
      <c r="L71">
        <v>0</v>
      </c>
      <c r="M71">
        <v>0</v>
      </c>
      <c r="N71">
        <v>0</v>
      </c>
      <c r="O71">
        <f t="shared" si="15"/>
        <v>55000</v>
      </c>
    </row>
    <row r="72" spans="1:15">
      <c r="A72" t="s">
        <v>220</v>
      </c>
      <c r="D72">
        <f>'Attendance Sheet'!AJ73</f>
        <v>0</v>
      </c>
      <c r="E72">
        <f>'Attendance Sheet'!AK73</f>
        <v>0</v>
      </c>
      <c r="F72">
        <f>'Attendance Sheet'!AL73</f>
        <v>0</v>
      </c>
      <c r="G72">
        <f t="shared" si="11"/>
        <v>55000</v>
      </c>
      <c r="H72">
        <f t="shared" si="16"/>
        <v>1833</v>
      </c>
      <c r="I72">
        <f t="shared" si="12"/>
        <v>55000</v>
      </c>
      <c r="J72">
        <f t="shared" si="13"/>
        <v>0</v>
      </c>
      <c r="K72">
        <f t="shared" si="14"/>
        <v>55000</v>
      </c>
      <c r="L72">
        <v>0</v>
      </c>
      <c r="M72">
        <v>0</v>
      </c>
      <c r="N72">
        <v>0</v>
      </c>
      <c r="O72">
        <f t="shared" si="15"/>
        <v>55000</v>
      </c>
    </row>
    <row r="73" spans="1:15">
      <c r="A73" t="s">
        <v>221</v>
      </c>
      <c r="D73">
        <f>'Attendance Sheet'!AJ74</f>
        <v>0</v>
      </c>
      <c r="E73">
        <f>'Attendance Sheet'!AK74</f>
        <v>0</v>
      </c>
      <c r="F73">
        <f>'Attendance Sheet'!AL74</f>
        <v>0</v>
      </c>
      <c r="G73">
        <f t="shared" si="11"/>
        <v>55000</v>
      </c>
      <c r="H73">
        <f t="shared" si="16"/>
        <v>1833</v>
      </c>
      <c r="I73">
        <f t="shared" si="12"/>
        <v>55000</v>
      </c>
      <c r="J73">
        <f t="shared" si="13"/>
        <v>0</v>
      </c>
      <c r="K73">
        <f t="shared" si="14"/>
        <v>55000</v>
      </c>
      <c r="L73">
        <v>0</v>
      </c>
      <c r="M73">
        <v>0</v>
      </c>
      <c r="N73">
        <v>0</v>
      </c>
      <c r="O73">
        <f t="shared" si="15"/>
        <v>55000</v>
      </c>
    </row>
    <row r="74" spans="1:15">
      <c r="A74" t="s">
        <v>222</v>
      </c>
      <c r="D74">
        <f>'Attendance Sheet'!AJ75</f>
        <v>0</v>
      </c>
      <c r="E74">
        <f>'Attendance Sheet'!AK75</f>
        <v>0</v>
      </c>
      <c r="F74">
        <f>'Attendance Sheet'!AL75</f>
        <v>0</v>
      </c>
      <c r="G74">
        <f t="shared" si="11"/>
        <v>55000</v>
      </c>
      <c r="H74">
        <f t="shared" si="16"/>
        <v>1833</v>
      </c>
      <c r="I74">
        <f t="shared" si="12"/>
        <v>55000</v>
      </c>
      <c r="J74">
        <f t="shared" si="13"/>
        <v>0</v>
      </c>
      <c r="K74">
        <f t="shared" si="14"/>
        <v>55000</v>
      </c>
      <c r="L74">
        <v>0</v>
      </c>
      <c r="M74">
        <v>0</v>
      </c>
      <c r="N74">
        <v>0</v>
      </c>
      <c r="O74">
        <f t="shared" si="15"/>
        <v>55000</v>
      </c>
    </row>
    <row r="75" spans="1:15">
      <c r="A75" t="s">
        <v>223</v>
      </c>
      <c r="D75">
        <f>'Attendance Sheet'!AJ76</f>
        <v>0</v>
      </c>
      <c r="E75">
        <f>'Attendance Sheet'!AK76</f>
        <v>0</v>
      </c>
      <c r="F75">
        <f>'Attendance Sheet'!AL76</f>
        <v>0</v>
      </c>
      <c r="G75">
        <f t="shared" si="11"/>
        <v>55000</v>
      </c>
      <c r="H75">
        <f t="shared" si="16"/>
        <v>1833</v>
      </c>
      <c r="I75">
        <f t="shared" si="12"/>
        <v>55000</v>
      </c>
      <c r="J75">
        <f t="shared" si="13"/>
        <v>0</v>
      </c>
      <c r="K75">
        <f t="shared" si="14"/>
        <v>55000</v>
      </c>
      <c r="L75">
        <v>0</v>
      </c>
      <c r="M75">
        <v>0</v>
      </c>
      <c r="N75">
        <v>0</v>
      </c>
      <c r="O75">
        <f t="shared" si="15"/>
        <v>55000</v>
      </c>
    </row>
  </sheetData>
  <mergeCells count="1">
    <mergeCell ref="A1:O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76"/>
  <sheetViews>
    <sheetView topLeftCell="A50" workbookViewId="0">
      <selection activeCell="E60" sqref="E60"/>
    </sheetView>
  </sheetViews>
  <sheetFormatPr defaultRowHeight="14.4"/>
  <cols>
    <col min="1" max="1" width="8.6640625" customWidth="1"/>
    <col min="2" max="2" width="17" customWidth="1"/>
    <col min="3" max="3" width="15" customWidth="1"/>
    <col min="4" max="4" width="14" customWidth="1"/>
    <col min="5" max="13" width="3.88671875" customWidth="1"/>
    <col min="14" max="18" width="4.88671875" customWidth="1"/>
    <col min="19" max="35" width="5.21875" bestFit="1" customWidth="1"/>
    <col min="36" max="36" width="7.6640625" customWidth="1"/>
    <col min="37" max="38" width="10.77734375" bestFit="1" customWidth="1"/>
    <col min="39" max="39" width="14" customWidth="1"/>
  </cols>
  <sheetData>
    <row r="1" spans="1:38" ht="36" customHeight="1">
      <c r="A1" s="42" t="s">
        <v>224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38" ht="24.6" customHeight="1">
      <c r="A2" s="16" t="s">
        <v>225</v>
      </c>
      <c r="B2" s="16" t="s">
        <v>226</v>
      </c>
      <c r="C2" s="16" t="s">
        <v>227</v>
      </c>
      <c r="D2" s="16" t="s">
        <v>228</v>
      </c>
      <c r="E2" s="20" t="s">
        <v>229</v>
      </c>
      <c r="F2" s="20" t="s">
        <v>230</v>
      </c>
      <c r="G2" s="20" t="s">
        <v>231</v>
      </c>
      <c r="H2" s="20" t="s">
        <v>232</v>
      </c>
      <c r="I2" s="20" t="s">
        <v>233</v>
      </c>
      <c r="J2" s="20" t="s">
        <v>234</v>
      </c>
      <c r="K2" s="20" t="s">
        <v>235</v>
      </c>
      <c r="L2" s="20" t="s">
        <v>236</v>
      </c>
      <c r="M2" s="20" t="s">
        <v>237</v>
      </c>
      <c r="N2" s="20" t="s">
        <v>238</v>
      </c>
      <c r="O2" s="20" t="s">
        <v>239</v>
      </c>
      <c r="P2" s="20" t="s">
        <v>240</v>
      </c>
      <c r="Q2" s="20" t="s">
        <v>241</v>
      </c>
      <c r="R2" s="20" t="s">
        <v>242</v>
      </c>
      <c r="S2" s="20" t="s">
        <v>243</v>
      </c>
      <c r="T2" s="20" t="s">
        <v>244</v>
      </c>
      <c r="U2" s="20" t="s">
        <v>245</v>
      </c>
      <c r="V2" s="20" t="s">
        <v>246</v>
      </c>
      <c r="W2" s="20" t="s">
        <v>247</v>
      </c>
      <c r="X2" s="20" t="s">
        <v>248</v>
      </c>
      <c r="Y2" s="20" t="s">
        <v>249</v>
      </c>
      <c r="Z2" s="20" t="s">
        <v>250</v>
      </c>
      <c r="AA2" s="20" t="s">
        <v>251</v>
      </c>
      <c r="AB2" s="20" t="s">
        <v>252</v>
      </c>
      <c r="AC2" s="20" t="s">
        <v>253</v>
      </c>
      <c r="AD2" s="20" t="s">
        <v>254</v>
      </c>
      <c r="AE2" s="20" t="s">
        <v>255</v>
      </c>
      <c r="AF2" s="20" t="s">
        <v>256</v>
      </c>
      <c r="AG2" s="20" t="s">
        <v>257</v>
      </c>
      <c r="AH2" s="20" t="s">
        <v>258</v>
      </c>
      <c r="AI2" s="20" t="s">
        <v>259</v>
      </c>
      <c r="AJ2" s="20" t="s">
        <v>260</v>
      </c>
      <c r="AK2" s="20" t="s">
        <v>261</v>
      </c>
      <c r="AL2" s="20" t="s">
        <v>271</v>
      </c>
    </row>
    <row r="3" spans="1:38" s="20" customFormat="1" ht="70.2" customHeight="1">
      <c r="A3" s="14" t="s">
        <v>33</v>
      </c>
      <c r="B3" s="14" t="s">
        <v>34</v>
      </c>
      <c r="C3" s="14" t="s">
        <v>5</v>
      </c>
      <c r="D3" s="14" t="s">
        <v>262</v>
      </c>
      <c r="E3" s="17" t="s">
        <v>263</v>
      </c>
      <c r="F3" s="17" t="s">
        <v>264</v>
      </c>
      <c r="G3" s="17" t="s">
        <v>265</v>
      </c>
      <c r="H3" s="17" t="s">
        <v>266</v>
      </c>
      <c r="I3" s="17" t="s">
        <v>267</v>
      </c>
      <c r="J3" s="17" t="s">
        <v>268</v>
      </c>
      <c r="K3" s="18" t="s">
        <v>269</v>
      </c>
      <c r="L3" s="17" t="s">
        <v>263</v>
      </c>
      <c r="M3" s="17" t="s">
        <v>264</v>
      </c>
      <c r="N3" s="17" t="s">
        <v>265</v>
      </c>
      <c r="O3" s="17" t="s">
        <v>266</v>
      </c>
      <c r="P3" s="17" t="s">
        <v>267</v>
      </c>
      <c r="Q3" s="17" t="s">
        <v>268</v>
      </c>
      <c r="R3" s="18" t="s">
        <v>269</v>
      </c>
      <c r="S3" s="17" t="s">
        <v>263</v>
      </c>
      <c r="T3" s="17" t="s">
        <v>264</v>
      </c>
      <c r="U3" s="17" t="s">
        <v>265</v>
      </c>
      <c r="V3" s="17" t="s">
        <v>266</v>
      </c>
      <c r="W3" s="17" t="s">
        <v>267</v>
      </c>
      <c r="X3" s="17" t="s">
        <v>268</v>
      </c>
      <c r="Y3" s="18" t="s">
        <v>269</v>
      </c>
      <c r="Z3" s="17" t="s">
        <v>263</v>
      </c>
      <c r="AA3" s="17" t="s">
        <v>264</v>
      </c>
      <c r="AB3" s="17" t="s">
        <v>265</v>
      </c>
      <c r="AC3" s="17" t="s">
        <v>266</v>
      </c>
      <c r="AD3" s="17" t="s">
        <v>267</v>
      </c>
      <c r="AE3" s="17" t="s">
        <v>268</v>
      </c>
      <c r="AF3" s="18" t="s">
        <v>269</v>
      </c>
      <c r="AG3" s="17" t="s">
        <v>263</v>
      </c>
      <c r="AH3" s="17" t="s">
        <v>264</v>
      </c>
      <c r="AI3" s="17" t="s">
        <v>265</v>
      </c>
      <c r="AJ3" s="19" t="s">
        <v>50</v>
      </c>
      <c r="AK3" s="19" t="s">
        <v>51</v>
      </c>
      <c r="AL3" s="19" t="s">
        <v>270</v>
      </c>
    </row>
    <row r="4" spans="1:38">
      <c r="A4" s="21" t="s">
        <v>13</v>
      </c>
      <c r="B4" s="21" t="s">
        <v>55</v>
      </c>
      <c r="C4" s="21" t="s">
        <v>10</v>
      </c>
      <c r="D4" s="21"/>
      <c r="E4" s="21" t="s">
        <v>52</v>
      </c>
      <c r="F4" s="21" t="s">
        <v>52</v>
      </c>
      <c r="G4" s="21" t="s">
        <v>52</v>
      </c>
      <c r="H4" s="21" t="s">
        <v>52</v>
      </c>
      <c r="I4" s="21" t="s">
        <v>52</v>
      </c>
      <c r="J4" s="21" t="s">
        <v>52</v>
      </c>
      <c r="K4" s="21" t="s">
        <v>53</v>
      </c>
      <c r="L4" s="21" t="s">
        <v>52</v>
      </c>
      <c r="M4" s="21" t="s">
        <v>52</v>
      </c>
      <c r="N4" s="21" t="s">
        <v>52</v>
      </c>
      <c r="O4" s="21" t="s">
        <v>52</v>
      </c>
      <c r="P4" s="21" t="s">
        <v>52</v>
      </c>
      <c r="Q4" s="21" t="s">
        <v>52</v>
      </c>
      <c r="R4" s="21" t="s">
        <v>53</v>
      </c>
      <c r="S4" s="21" t="s">
        <v>52</v>
      </c>
      <c r="T4" s="21" t="s">
        <v>52</v>
      </c>
      <c r="U4" s="21" t="s">
        <v>52</v>
      </c>
      <c r="V4" s="21" t="s">
        <v>52</v>
      </c>
      <c r="W4" s="21" t="s">
        <v>52</v>
      </c>
      <c r="X4" s="21" t="s">
        <v>52</v>
      </c>
      <c r="Y4" s="21" t="s">
        <v>53</v>
      </c>
      <c r="Z4" s="21" t="s">
        <v>52</v>
      </c>
      <c r="AA4" s="21" t="s">
        <v>52</v>
      </c>
      <c r="AB4" s="21" t="s">
        <v>52</v>
      </c>
      <c r="AC4" s="21" t="s">
        <v>52</v>
      </c>
      <c r="AD4" s="21" t="s">
        <v>52</v>
      </c>
      <c r="AE4" s="21" t="s">
        <v>52</v>
      </c>
      <c r="AF4" s="21" t="s">
        <v>53</v>
      </c>
      <c r="AG4" s="21" t="s">
        <v>52</v>
      </c>
      <c r="AH4" s="21" t="s">
        <v>52</v>
      </c>
      <c r="AI4" s="21"/>
      <c r="AJ4" s="21">
        <f t="shared" ref="AJ4:AJ67" si="0">COUNTIF(E4:AI4, "P")</f>
        <v>26</v>
      </c>
      <c r="AK4" s="21">
        <f t="shared" ref="AK4:AK67" si="1">COUNTIF(E4:AI4, "A")</f>
        <v>0</v>
      </c>
      <c r="AL4" s="21">
        <f t="shared" ref="AL4:AL67" si="2">COUNTIF(E4:AI4, "S")</f>
        <v>4</v>
      </c>
    </row>
    <row r="5" spans="1:38">
      <c r="A5" s="21" t="s">
        <v>45</v>
      </c>
      <c r="B5" s="21" t="s">
        <v>56</v>
      </c>
      <c r="C5" s="21" t="s">
        <v>10</v>
      </c>
      <c r="D5" s="21"/>
      <c r="E5" s="21" t="s">
        <v>52</v>
      </c>
      <c r="F5" s="21" t="s">
        <v>52</v>
      </c>
      <c r="G5" s="21" t="s">
        <v>52</v>
      </c>
      <c r="H5" s="21" t="s">
        <v>52</v>
      </c>
      <c r="I5" s="21" t="s">
        <v>52</v>
      </c>
      <c r="J5" s="21" t="s">
        <v>52</v>
      </c>
      <c r="K5" s="21" t="s">
        <v>53</v>
      </c>
      <c r="L5" s="21" t="s">
        <v>52</v>
      </c>
      <c r="M5" s="21" t="s">
        <v>52</v>
      </c>
      <c r="N5" s="21" t="s">
        <v>52</v>
      </c>
      <c r="O5" s="21" t="s">
        <v>52</v>
      </c>
      <c r="P5" s="21" t="s">
        <v>52</v>
      </c>
      <c r="Q5" s="21" t="s">
        <v>52</v>
      </c>
      <c r="R5" s="21" t="s">
        <v>53</v>
      </c>
      <c r="S5" s="21" t="s">
        <v>52</v>
      </c>
      <c r="T5" s="21" t="s">
        <v>52</v>
      </c>
      <c r="U5" s="21" t="s">
        <v>52</v>
      </c>
      <c r="V5" s="21" t="s">
        <v>52</v>
      </c>
      <c r="W5" s="21" t="s">
        <v>52</v>
      </c>
      <c r="X5" s="21" t="s">
        <v>52</v>
      </c>
      <c r="Y5" s="21" t="s">
        <v>53</v>
      </c>
      <c r="Z5" s="21" t="s">
        <v>52</v>
      </c>
      <c r="AA5" s="21" t="s">
        <v>52</v>
      </c>
      <c r="AB5" s="21" t="s">
        <v>52</v>
      </c>
      <c r="AC5" s="21" t="s">
        <v>52</v>
      </c>
      <c r="AD5" s="21" t="s">
        <v>52</v>
      </c>
      <c r="AE5" s="21" t="s">
        <v>52</v>
      </c>
      <c r="AF5" s="21" t="s">
        <v>53</v>
      </c>
      <c r="AG5" s="21" t="s">
        <v>52</v>
      </c>
      <c r="AH5" s="21" t="s">
        <v>52</v>
      </c>
      <c r="AI5" s="21"/>
      <c r="AJ5" s="21">
        <f t="shared" si="0"/>
        <v>26</v>
      </c>
      <c r="AK5" s="21">
        <f t="shared" si="1"/>
        <v>0</v>
      </c>
      <c r="AL5" s="21">
        <f t="shared" si="2"/>
        <v>4</v>
      </c>
    </row>
    <row r="6" spans="1:38" ht="28.8">
      <c r="A6" s="21" t="s">
        <v>46</v>
      </c>
      <c r="B6" s="21" t="s">
        <v>57</v>
      </c>
      <c r="C6" s="22" t="s">
        <v>58</v>
      </c>
      <c r="D6" s="21"/>
      <c r="E6" s="21" t="s">
        <v>52</v>
      </c>
      <c r="F6" s="21" t="s">
        <v>52</v>
      </c>
      <c r="G6" s="21" t="s">
        <v>52</v>
      </c>
      <c r="H6" s="21" t="s">
        <v>52</v>
      </c>
      <c r="I6" s="21" t="s">
        <v>52</v>
      </c>
      <c r="J6" s="21" t="s">
        <v>52</v>
      </c>
      <c r="K6" s="21" t="s">
        <v>53</v>
      </c>
      <c r="L6" s="21" t="s">
        <v>52</v>
      </c>
      <c r="M6" s="21" t="s">
        <v>52</v>
      </c>
      <c r="N6" s="21" t="s">
        <v>52</v>
      </c>
      <c r="O6" s="21" t="s">
        <v>52</v>
      </c>
      <c r="P6" s="21" t="s">
        <v>52</v>
      </c>
      <c r="Q6" s="21" t="s">
        <v>52</v>
      </c>
      <c r="R6" s="21" t="s">
        <v>53</v>
      </c>
      <c r="S6" s="21" t="s">
        <v>52</v>
      </c>
      <c r="T6" s="21" t="s">
        <v>52</v>
      </c>
      <c r="U6" s="21" t="s">
        <v>52</v>
      </c>
      <c r="V6" s="21" t="s">
        <v>52</v>
      </c>
      <c r="W6" s="21" t="s">
        <v>52</v>
      </c>
      <c r="X6" s="21" t="s">
        <v>52</v>
      </c>
      <c r="Y6" s="21" t="s">
        <v>53</v>
      </c>
      <c r="Z6" s="21" t="s">
        <v>52</v>
      </c>
      <c r="AA6" s="21" t="s">
        <v>52</v>
      </c>
      <c r="AB6" s="21" t="s">
        <v>52</v>
      </c>
      <c r="AC6" s="21" t="s">
        <v>52</v>
      </c>
      <c r="AD6" s="21" t="s">
        <v>52</v>
      </c>
      <c r="AE6" s="21" t="s">
        <v>52</v>
      </c>
      <c r="AF6" s="21" t="s">
        <v>53</v>
      </c>
      <c r="AG6" s="21" t="s">
        <v>52</v>
      </c>
      <c r="AH6" s="21" t="s">
        <v>52</v>
      </c>
      <c r="AI6" s="21"/>
      <c r="AJ6" s="21">
        <f t="shared" si="0"/>
        <v>26</v>
      </c>
      <c r="AK6" s="21">
        <f t="shared" si="1"/>
        <v>0</v>
      </c>
      <c r="AL6" s="21">
        <f t="shared" si="2"/>
        <v>4</v>
      </c>
    </row>
    <row r="7" spans="1:38" ht="28.8">
      <c r="A7" s="21" t="s">
        <v>47</v>
      </c>
      <c r="B7" s="21" t="s">
        <v>59</v>
      </c>
      <c r="C7" s="22" t="s">
        <v>60</v>
      </c>
      <c r="D7" s="21"/>
      <c r="E7" s="21" t="s">
        <v>52</v>
      </c>
      <c r="F7" s="21" t="s">
        <v>52</v>
      </c>
      <c r="G7" s="21" t="s">
        <v>52</v>
      </c>
      <c r="H7" s="21" t="s">
        <v>52</v>
      </c>
      <c r="I7" s="21" t="s">
        <v>52</v>
      </c>
      <c r="J7" s="21" t="s">
        <v>52</v>
      </c>
      <c r="K7" s="21" t="s">
        <v>53</v>
      </c>
      <c r="L7" s="21" t="s">
        <v>52</v>
      </c>
      <c r="M7" s="21" t="s">
        <v>52</v>
      </c>
      <c r="N7" s="21" t="s">
        <v>52</v>
      </c>
      <c r="O7" s="21" t="s">
        <v>52</v>
      </c>
      <c r="P7" s="21" t="s">
        <v>52</v>
      </c>
      <c r="Q7" s="21" t="s">
        <v>52</v>
      </c>
      <c r="R7" s="21" t="s">
        <v>53</v>
      </c>
      <c r="S7" s="21" t="s">
        <v>52</v>
      </c>
      <c r="T7" s="21" t="s">
        <v>52</v>
      </c>
      <c r="U7" s="21" t="s">
        <v>52</v>
      </c>
      <c r="V7" s="21" t="s">
        <v>52</v>
      </c>
      <c r="W7" s="21" t="s">
        <v>52</v>
      </c>
      <c r="X7" s="21" t="s">
        <v>52</v>
      </c>
      <c r="Y7" s="21" t="s">
        <v>53</v>
      </c>
      <c r="Z7" s="21" t="s">
        <v>52</v>
      </c>
      <c r="AA7" s="21" t="s">
        <v>52</v>
      </c>
      <c r="AB7" s="21" t="s">
        <v>52</v>
      </c>
      <c r="AC7" s="21" t="s">
        <v>52</v>
      </c>
      <c r="AD7" s="21" t="s">
        <v>52</v>
      </c>
      <c r="AE7" s="21" t="s">
        <v>52</v>
      </c>
      <c r="AF7" s="21" t="s">
        <v>53</v>
      </c>
      <c r="AG7" s="21" t="s">
        <v>52</v>
      </c>
      <c r="AH7" s="21" t="s">
        <v>52</v>
      </c>
      <c r="AI7" s="21"/>
      <c r="AJ7" s="21">
        <f t="shared" si="0"/>
        <v>26</v>
      </c>
      <c r="AK7" s="21">
        <f t="shared" si="1"/>
        <v>0</v>
      </c>
      <c r="AL7" s="21">
        <f t="shared" si="2"/>
        <v>4</v>
      </c>
    </row>
    <row r="8" spans="1:38">
      <c r="A8" s="21" t="s">
        <v>48</v>
      </c>
      <c r="B8" s="21" t="s">
        <v>61</v>
      </c>
      <c r="C8" s="21" t="s">
        <v>62</v>
      </c>
      <c r="D8" s="21"/>
      <c r="E8" s="21" t="s">
        <v>52</v>
      </c>
      <c r="F8" s="21" t="s">
        <v>52</v>
      </c>
      <c r="G8" s="21" t="s">
        <v>52</v>
      </c>
      <c r="H8" s="21" t="s">
        <v>52</v>
      </c>
      <c r="I8" s="21" t="s">
        <v>52</v>
      </c>
      <c r="J8" s="21" t="s">
        <v>52</v>
      </c>
      <c r="K8" s="21" t="s">
        <v>53</v>
      </c>
      <c r="L8" s="21" t="s">
        <v>52</v>
      </c>
      <c r="M8" s="21" t="s">
        <v>52</v>
      </c>
      <c r="N8" s="21" t="s">
        <v>52</v>
      </c>
      <c r="O8" s="21" t="s">
        <v>52</v>
      </c>
      <c r="P8" s="21" t="s">
        <v>52</v>
      </c>
      <c r="Q8" s="21" t="s">
        <v>52</v>
      </c>
      <c r="R8" s="21" t="s">
        <v>53</v>
      </c>
      <c r="S8" s="21" t="s">
        <v>52</v>
      </c>
      <c r="T8" s="21" t="s">
        <v>52</v>
      </c>
      <c r="U8" s="21" t="s">
        <v>52</v>
      </c>
      <c r="V8" s="21" t="s">
        <v>52</v>
      </c>
      <c r="W8" s="21" t="s">
        <v>52</v>
      </c>
      <c r="X8" s="21" t="s">
        <v>52</v>
      </c>
      <c r="Y8" s="21" t="s">
        <v>53</v>
      </c>
      <c r="Z8" s="21" t="s">
        <v>52</v>
      </c>
      <c r="AA8" s="21" t="s">
        <v>52</v>
      </c>
      <c r="AB8" s="21" t="s">
        <v>52</v>
      </c>
      <c r="AC8" s="21" t="s">
        <v>52</v>
      </c>
      <c r="AD8" s="21" t="s">
        <v>52</v>
      </c>
      <c r="AE8" s="21" t="s">
        <v>52</v>
      </c>
      <c r="AF8" s="21" t="s">
        <v>53</v>
      </c>
      <c r="AG8" s="21" t="s">
        <v>52</v>
      </c>
      <c r="AH8" s="21" t="s">
        <v>52</v>
      </c>
      <c r="AI8" s="21"/>
      <c r="AJ8" s="21">
        <f t="shared" si="0"/>
        <v>26</v>
      </c>
      <c r="AK8" s="21">
        <f t="shared" si="1"/>
        <v>0</v>
      </c>
      <c r="AL8" s="21">
        <f t="shared" si="2"/>
        <v>4</v>
      </c>
    </row>
    <row r="9" spans="1:38">
      <c r="A9" s="21" t="s">
        <v>49</v>
      </c>
      <c r="B9" s="21" t="s">
        <v>63</v>
      </c>
      <c r="C9" s="21" t="s">
        <v>8</v>
      </c>
      <c r="D9" s="21" t="s">
        <v>64</v>
      </c>
      <c r="E9" s="21" t="s">
        <v>52</v>
      </c>
      <c r="F9" s="21" t="s">
        <v>52</v>
      </c>
      <c r="G9" s="21" t="s">
        <v>52</v>
      </c>
      <c r="H9" s="21" t="s">
        <v>52</v>
      </c>
      <c r="I9" s="21" t="s">
        <v>52</v>
      </c>
      <c r="J9" s="21" t="s">
        <v>52</v>
      </c>
      <c r="K9" s="21" t="s">
        <v>53</v>
      </c>
      <c r="L9" s="21" t="s">
        <v>52</v>
      </c>
      <c r="M9" s="21" t="s">
        <v>54</v>
      </c>
      <c r="N9" s="21" t="s">
        <v>52</v>
      </c>
      <c r="O9" s="21" t="s">
        <v>52</v>
      </c>
      <c r="P9" s="21" t="s">
        <v>52</v>
      </c>
      <c r="Q9" s="21" t="s">
        <v>52</v>
      </c>
      <c r="R9" s="21" t="s">
        <v>53</v>
      </c>
      <c r="S9" s="21" t="s">
        <v>52</v>
      </c>
      <c r="T9" s="21" t="s">
        <v>52</v>
      </c>
      <c r="U9" s="21" t="s">
        <v>52</v>
      </c>
      <c r="V9" s="21" t="s">
        <v>52</v>
      </c>
      <c r="W9" s="21" t="s">
        <v>52</v>
      </c>
      <c r="X9" s="21" t="s">
        <v>52</v>
      </c>
      <c r="Y9" s="21" t="s">
        <v>53</v>
      </c>
      <c r="Z9" s="21" t="s">
        <v>54</v>
      </c>
      <c r="AA9" s="21" t="s">
        <v>54</v>
      </c>
      <c r="AB9" s="21" t="s">
        <v>65</v>
      </c>
      <c r="AC9" s="21" t="s">
        <v>65</v>
      </c>
      <c r="AD9" s="21" t="s">
        <v>65</v>
      </c>
      <c r="AE9" s="21" t="s">
        <v>65</v>
      </c>
      <c r="AF9" s="21" t="s">
        <v>53</v>
      </c>
      <c r="AG9" s="21" t="s">
        <v>52</v>
      </c>
      <c r="AH9" s="21" t="s">
        <v>52</v>
      </c>
      <c r="AI9" s="21"/>
      <c r="AJ9" s="21">
        <f t="shared" si="0"/>
        <v>23</v>
      </c>
      <c r="AK9" s="21">
        <f t="shared" si="1"/>
        <v>3</v>
      </c>
      <c r="AL9" s="21">
        <f t="shared" si="2"/>
        <v>4</v>
      </c>
    </row>
    <row r="10" spans="1:38">
      <c r="A10" s="21" t="s">
        <v>66</v>
      </c>
      <c r="B10" s="21" t="s">
        <v>67</v>
      </c>
      <c r="C10" s="21" t="s">
        <v>8</v>
      </c>
      <c r="D10" s="21" t="s">
        <v>68</v>
      </c>
      <c r="E10" s="21" t="s">
        <v>52</v>
      </c>
      <c r="F10" s="21" t="s">
        <v>52</v>
      </c>
      <c r="G10" s="21" t="s">
        <v>52</v>
      </c>
      <c r="H10" s="21" t="s">
        <v>52</v>
      </c>
      <c r="I10" s="21" t="s">
        <v>52</v>
      </c>
      <c r="J10" s="21" t="s">
        <v>52</v>
      </c>
      <c r="K10" s="21" t="s">
        <v>53</v>
      </c>
      <c r="L10" s="21" t="s">
        <v>52</v>
      </c>
      <c r="M10" s="21" t="s">
        <v>52</v>
      </c>
      <c r="N10" s="21" t="s">
        <v>52</v>
      </c>
      <c r="O10" s="21" t="s">
        <v>52</v>
      </c>
      <c r="P10" s="21" t="s">
        <v>52</v>
      </c>
      <c r="Q10" s="21" t="s">
        <v>52</v>
      </c>
      <c r="R10" s="21" t="s">
        <v>53</v>
      </c>
      <c r="S10" s="21" t="s">
        <v>52</v>
      </c>
      <c r="T10" s="21" t="s">
        <v>52</v>
      </c>
      <c r="U10" s="21" t="s">
        <v>52</v>
      </c>
      <c r="V10" s="21" t="s">
        <v>52</v>
      </c>
      <c r="W10" s="21" t="s">
        <v>52</v>
      </c>
      <c r="X10" s="21" t="s">
        <v>52</v>
      </c>
      <c r="Y10" s="21" t="s">
        <v>53</v>
      </c>
      <c r="Z10" s="21" t="s">
        <v>52</v>
      </c>
      <c r="AA10" s="21" t="s">
        <v>52</v>
      </c>
      <c r="AB10" s="21" t="s">
        <v>65</v>
      </c>
      <c r="AC10" s="21" t="s">
        <v>65</v>
      </c>
      <c r="AD10" s="21" t="s">
        <v>65</v>
      </c>
      <c r="AE10" s="21" t="s">
        <v>65</v>
      </c>
      <c r="AF10" s="21" t="s">
        <v>53</v>
      </c>
      <c r="AG10" s="21" t="s">
        <v>52</v>
      </c>
      <c r="AH10" s="21" t="s">
        <v>52</v>
      </c>
      <c r="AI10" s="21"/>
      <c r="AJ10" s="21">
        <f t="shared" si="0"/>
        <v>26</v>
      </c>
      <c r="AK10" s="21">
        <f t="shared" si="1"/>
        <v>0</v>
      </c>
      <c r="AL10" s="21">
        <f t="shared" si="2"/>
        <v>4</v>
      </c>
    </row>
    <row r="11" spans="1:38">
      <c r="A11" s="21" t="s">
        <v>69</v>
      </c>
      <c r="B11" s="21" t="s">
        <v>70</v>
      </c>
      <c r="C11" s="21" t="s">
        <v>8</v>
      </c>
      <c r="D11" s="21" t="s">
        <v>71</v>
      </c>
      <c r="E11" s="21" t="s">
        <v>52</v>
      </c>
      <c r="F11" s="21" t="s">
        <v>52</v>
      </c>
      <c r="G11" s="21" t="s">
        <v>52</v>
      </c>
      <c r="H11" s="21" t="s">
        <v>52</v>
      </c>
      <c r="I11" s="21" t="s">
        <v>52</v>
      </c>
      <c r="J11" s="21" t="s">
        <v>52</v>
      </c>
      <c r="K11" s="21" t="s">
        <v>53</v>
      </c>
      <c r="L11" s="21" t="s">
        <v>52</v>
      </c>
      <c r="M11" s="21" t="s">
        <v>52</v>
      </c>
      <c r="N11" s="21" t="s">
        <v>52</v>
      </c>
      <c r="O11" s="21" t="s">
        <v>52</v>
      </c>
      <c r="P11" s="21" t="s">
        <v>52</v>
      </c>
      <c r="Q11" s="21" t="s">
        <v>52</v>
      </c>
      <c r="R11" s="21" t="s">
        <v>53</v>
      </c>
      <c r="S11" s="21" t="s">
        <v>52</v>
      </c>
      <c r="T11" s="21" t="s">
        <v>52</v>
      </c>
      <c r="U11" s="21" t="s">
        <v>52</v>
      </c>
      <c r="V11" s="21" t="s">
        <v>52</v>
      </c>
      <c r="W11" s="21" t="s">
        <v>52</v>
      </c>
      <c r="X11" s="21" t="s">
        <v>52</v>
      </c>
      <c r="Y11" s="21" t="s">
        <v>53</v>
      </c>
      <c r="Z11" s="21" t="s">
        <v>52</v>
      </c>
      <c r="AA11" s="21" t="s">
        <v>52</v>
      </c>
      <c r="AB11" s="21" t="s">
        <v>52</v>
      </c>
      <c r="AC11" s="21" t="s">
        <v>52</v>
      </c>
      <c r="AD11" s="21" t="s">
        <v>52</v>
      </c>
      <c r="AE11" s="21" t="s">
        <v>52</v>
      </c>
      <c r="AF11" s="21" t="s">
        <v>53</v>
      </c>
      <c r="AG11" s="21" t="s">
        <v>52</v>
      </c>
      <c r="AH11" s="21" t="s">
        <v>52</v>
      </c>
      <c r="AI11" s="21"/>
      <c r="AJ11" s="21">
        <f t="shared" si="0"/>
        <v>26</v>
      </c>
      <c r="AK11" s="21">
        <f t="shared" si="1"/>
        <v>0</v>
      </c>
      <c r="AL11" s="21">
        <f t="shared" si="2"/>
        <v>4</v>
      </c>
    </row>
    <row r="12" spans="1:38">
      <c r="A12" s="21" t="s">
        <v>72</v>
      </c>
      <c r="B12" s="21" t="s">
        <v>73</v>
      </c>
      <c r="C12" s="21" t="s">
        <v>8</v>
      </c>
      <c r="D12" s="21" t="s">
        <v>74</v>
      </c>
      <c r="E12" s="21" t="s">
        <v>52</v>
      </c>
      <c r="F12" s="21" t="s">
        <v>52</v>
      </c>
      <c r="G12" s="21" t="s">
        <v>52</v>
      </c>
      <c r="H12" s="21" t="s">
        <v>52</v>
      </c>
      <c r="I12" s="21" t="s">
        <v>52</v>
      </c>
      <c r="J12" s="21" t="s">
        <v>52</v>
      </c>
      <c r="K12" s="21" t="s">
        <v>53</v>
      </c>
      <c r="L12" s="21" t="s">
        <v>52</v>
      </c>
      <c r="M12" s="21" t="s">
        <v>52</v>
      </c>
      <c r="N12" s="21" t="s">
        <v>52</v>
      </c>
      <c r="O12" s="21" t="s">
        <v>52</v>
      </c>
      <c r="P12" s="21" t="s">
        <v>52</v>
      </c>
      <c r="Q12" s="21" t="s">
        <v>52</v>
      </c>
      <c r="R12" s="21" t="s">
        <v>53</v>
      </c>
      <c r="S12" s="21" t="s">
        <v>52</v>
      </c>
      <c r="T12" s="21" t="s">
        <v>52</v>
      </c>
      <c r="U12" s="21" t="s">
        <v>52</v>
      </c>
      <c r="V12" s="21" t="s">
        <v>52</v>
      </c>
      <c r="W12" s="21" t="s">
        <v>52</v>
      </c>
      <c r="X12" s="21" t="s">
        <v>52</v>
      </c>
      <c r="Y12" s="21" t="s">
        <v>53</v>
      </c>
      <c r="Z12" s="21" t="s">
        <v>52</v>
      </c>
      <c r="AA12" s="21" t="s">
        <v>52</v>
      </c>
      <c r="AB12" s="21" t="s">
        <v>52</v>
      </c>
      <c r="AC12" s="21" t="s">
        <v>52</v>
      </c>
      <c r="AD12" s="21" t="s">
        <v>52</v>
      </c>
      <c r="AE12" s="21" t="s">
        <v>52</v>
      </c>
      <c r="AF12" s="21" t="s">
        <v>53</v>
      </c>
      <c r="AG12" s="21" t="s">
        <v>52</v>
      </c>
      <c r="AH12" s="21" t="s">
        <v>52</v>
      </c>
      <c r="AI12" s="21"/>
      <c r="AJ12" s="21">
        <f t="shared" si="0"/>
        <v>26</v>
      </c>
      <c r="AK12" s="21">
        <f t="shared" si="1"/>
        <v>0</v>
      </c>
      <c r="AL12" s="21">
        <f t="shared" si="2"/>
        <v>4</v>
      </c>
    </row>
    <row r="13" spans="1:38">
      <c r="A13" s="21" t="s">
        <v>75</v>
      </c>
      <c r="B13" s="21" t="s">
        <v>76</v>
      </c>
      <c r="C13" s="21" t="s">
        <v>8</v>
      </c>
      <c r="D13" s="21" t="s">
        <v>77</v>
      </c>
      <c r="E13" s="21" t="s">
        <v>52</v>
      </c>
      <c r="F13" s="21" t="s">
        <v>52</v>
      </c>
      <c r="G13" s="21" t="s">
        <v>52</v>
      </c>
      <c r="H13" s="21" t="s">
        <v>52</v>
      </c>
      <c r="I13" s="21" t="s">
        <v>52</v>
      </c>
      <c r="J13" s="21" t="s">
        <v>52</v>
      </c>
      <c r="K13" s="21" t="s">
        <v>53</v>
      </c>
      <c r="L13" s="21" t="s">
        <v>52</v>
      </c>
      <c r="M13" s="21" t="s">
        <v>52</v>
      </c>
      <c r="N13" s="21" t="s">
        <v>52</v>
      </c>
      <c r="O13" s="21" t="s">
        <v>52</v>
      </c>
      <c r="P13" s="21" t="s">
        <v>52</v>
      </c>
      <c r="Q13" s="21" t="s">
        <v>52</v>
      </c>
      <c r="R13" s="21" t="s">
        <v>53</v>
      </c>
      <c r="S13" s="21" t="s">
        <v>52</v>
      </c>
      <c r="T13" s="21" t="s">
        <v>52</v>
      </c>
      <c r="U13" s="21" t="s">
        <v>52</v>
      </c>
      <c r="V13" s="21" t="s">
        <v>52</v>
      </c>
      <c r="W13" s="21" t="s">
        <v>52</v>
      </c>
      <c r="X13" s="21" t="s">
        <v>52</v>
      </c>
      <c r="Y13" s="21" t="s">
        <v>53</v>
      </c>
      <c r="Z13" s="21" t="s">
        <v>52</v>
      </c>
      <c r="AA13" s="21" t="s">
        <v>52</v>
      </c>
      <c r="AB13" s="21" t="s">
        <v>52</v>
      </c>
      <c r="AC13" s="21" t="s">
        <v>52</v>
      </c>
      <c r="AD13" s="21" t="s">
        <v>52</v>
      </c>
      <c r="AE13" s="21" t="s">
        <v>52</v>
      </c>
      <c r="AF13" s="21" t="s">
        <v>53</v>
      </c>
      <c r="AG13" s="21" t="s">
        <v>52</v>
      </c>
      <c r="AH13" s="21" t="s">
        <v>52</v>
      </c>
      <c r="AI13" s="21"/>
      <c r="AJ13" s="21">
        <f t="shared" si="0"/>
        <v>26</v>
      </c>
      <c r="AK13" s="21">
        <f t="shared" si="1"/>
        <v>0</v>
      </c>
      <c r="AL13" s="21">
        <f t="shared" si="2"/>
        <v>4</v>
      </c>
    </row>
    <row r="14" spans="1:38">
      <c r="A14" s="21" t="s">
        <v>78</v>
      </c>
      <c r="B14" s="21" t="s">
        <v>79</v>
      </c>
      <c r="C14" s="21" t="s">
        <v>8</v>
      </c>
      <c r="D14" s="21" t="s">
        <v>80</v>
      </c>
      <c r="E14" s="21" t="s">
        <v>52</v>
      </c>
      <c r="F14" s="21" t="s">
        <v>52</v>
      </c>
      <c r="G14" s="21" t="s">
        <v>52</v>
      </c>
      <c r="H14" s="21" t="s">
        <v>52</v>
      </c>
      <c r="I14" s="21" t="s">
        <v>52</v>
      </c>
      <c r="J14" s="21" t="s">
        <v>52</v>
      </c>
      <c r="K14" s="21" t="s">
        <v>53</v>
      </c>
      <c r="L14" s="21" t="s">
        <v>52</v>
      </c>
      <c r="M14" s="21" t="s">
        <v>52</v>
      </c>
      <c r="N14" s="21" t="s">
        <v>52</v>
      </c>
      <c r="O14" s="21" t="s">
        <v>52</v>
      </c>
      <c r="P14" s="21" t="s">
        <v>54</v>
      </c>
      <c r="Q14" s="21" t="s">
        <v>54</v>
      </c>
      <c r="R14" s="21" t="s">
        <v>53</v>
      </c>
      <c r="S14" s="21" t="s">
        <v>52</v>
      </c>
      <c r="T14" s="21" t="s">
        <v>52</v>
      </c>
      <c r="U14" s="21" t="s">
        <v>52</v>
      </c>
      <c r="V14" s="21" t="s">
        <v>52</v>
      </c>
      <c r="W14" s="21" t="s">
        <v>54</v>
      </c>
      <c r="X14" s="21" t="s">
        <v>54</v>
      </c>
      <c r="Y14" s="21" t="s">
        <v>53</v>
      </c>
      <c r="Z14" s="21" t="s">
        <v>52</v>
      </c>
      <c r="AA14" s="21" t="s">
        <v>52</v>
      </c>
      <c r="AB14" s="21" t="s">
        <v>52</v>
      </c>
      <c r="AC14" s="21" t="s">
        <v>52</v>
      </c>
      <c r="AD14" s="21" t="s">
        <v>52</v>
      </c>
      <c r="AE14" s="21" t="s">
        <v>52</v>
      </c>
      <c r="AF14" s="21" t="s">
        <v>53</v>
      </c>
      <c r="AG14" s="21" t="s">
        <v>52</v>
      </c>
      <c r="AH14" s="21" t="s">
        <v>52</v>
      </c>
      <c r="AI14" s="21"/>
      <c r="AJ14" s="21">
        <f t="shared" si="0"/>
        <v>22</v>
      </c>
      <c r="AK14" s="21">
        <f t="shared" si="1"/>
        <v>4</v>
      </c>
      <c r="AL14" s="21">
        <f t="shared" si="2"/>
        <v>4</v>
      </c>
    </row>
    <row r="15" spans="1:38">
      <c r="A15" s="21" t="s">
        <v>81</v>
      </c>
      <c r="B15" s="21" t="s">
        <v>82</v>
      </c>
      <c r="C15" s="21" t="s">
        <v>8</v>
      </c>
      <c r="D15" s="21" t="s">
        <v>83</v>
      </c>
      <c r="E15" s="21" t="s">
        <v>52</v>
      </c>
      <c r="F15" s="21" t="s">
        <v>52</v>
      </c>
      <c r="G15" s="21" t="s">
        <v>52</v>
      </c>
      <c r="H15" s="21" t="s">
        <v>52</v>
      </c>
      <c r="I15" s="21" t="s">
        <v>52</v>
      </c>
      <c r="J15" s="21" t="s">
        <v>52</v>
      </c>
      <c r="K15" s="21" t="s">
        <v>53</v>
      </c>
      <c r="L15" s="21" t="s">
        <v>52</v>
      </c>
      <c r="M15" s="21" t="s">
        <v>52</v>
      </c>
      <c r="N15" s="21" t="s">
        <v>52</v>
      </c>
      <c r="O15" s="21" t="s">
        <v>52</v>
      </c>
      <c r="P15" s="21" t="s">
        <v>52</v>
      </c>
      <c r="Q15" s="21" t="s">
        <v>52</v>
      </c>
      <c r="R15" s="21" t="s">
        <v>53</v>
      </c>
      <c r="S15" s="21" t="s">
        <v>52</v>
      </c>
      <c r="T15" s="21" t="s">
        <v>52</v>
      </c>
      <c r="U15" s="21" t="s">
        <v>52</v>
      </c>
      <c r="V15" s="21" t="s">
        <v>52</v>
      </c>
      <c r="W15" s="21" t="s">
        <v>52</v>
      </c>
      <c r="X15" s="21" t="s">
        <v>52</v>
      </c>
      <c r="Y15" s="21" t="s">
        <v>53</v>
      </c>
      <c r="Z15" s="21" t="s">
        <v>52</v>
      </c>
      <c r="AA15" s="21" t="s">
        <v>52</v>
      </c>
      <c r="AB15" s="21" t="s">
        <v>52</v>
      </c>
      <c r="AC15" s="21" t="s">
        <v>52</v>
      </c>
      <c r="AD15" s="21" t="s">
        <v>52</v>
      </c>
      <c r="AE15" s="21" t="s">
        <v>52</v>
      </c>
      <c r="AF15" s="21" t="s">
        <v>53</v>
      </c>
      <c r="AG15" s="21" t="s">
        <v>52</v>
      </c>
      <c r="AH15" s="21" t="s">
        <v>52</v>
      </c>
      <c r="AI15" s="21"/>
      <c r="AJ15" s="21">
        <f t="shared" si="0"/>
        <v>26</v>
      </c>
      <c r="AK15" s="21">
        <f t="shared" si="1"/>
        <v>0</v>
      </c>
      <c r="AL15" s="21">
        <f t="shared" si="2"/>
        <v>4</v>
      </c>
    </row>
    <row r="16" spans="1:38">
      <c r="A16" s="21" t="s">
        <v>84</v>
      </c>
      <c r="B16" s="21" t="s">
        <v>85</v>
      </c>
      <c r="C16" s="21" t="s">
        <v>8</v>
      </c>
      <c r="D16" s="21" t="s">
        <v>86</v>
      </c>
      <c r="E16" s="21" t="s">
        <v>54</v>
      </c>
      <c r="F16" s="21" t="s">
        <v>54</v>
      </c>
      <c r="G16" s="21" t="s">
        <v>52</v>
      </c>
      <c r="H16" s="21" t="s">
        <v>52</v>
      </c>
      <c r="I16" s="21" t="s">
        <v>52</v>
      </c>
      <c r="J16" s="21" t="s">
        <v>52</v>
      </c>
      <c r="K16" s="21" t="s">
        <v>53</v>
      </c>
      <c r="L16" s="21" t="s">
        <v>52</v>
      </c>
      <c r="M16" s="21" t="s">
        <v>52</v>
      </c>
      <c r="N16" s="21" t="s">
        <v>52</v>
      </c>
      <c r="O16" s="21" t="s">
        <v>52</v>
      </c>
      <c r="P16" s="21" t="s">
        <v>52</v>
      </c>
      <c r="Q16" s="21" t="s">
        <v>52</v>
      </c>
      <c r="R16" s="21" t="s">
        <v>53</v>
      </c>
      <c r="S16" s="21" t="s">
        <v>52</v>
      </c>
      <c r="T16" s="21" t="s">
        <v>52</v>
      </c>
      <c r="U16" s="21" t="s">
        <v>52</v>
      </c>
      <c r="V16" s="21" t="s">
        <v>52</v>
      </c>
      <c r="W16" s="21" t="s">
        <v>52</v>
      </c>
      <c r="X16" s="21" t="s">
        <v>52</v>
      </c>
      <c r="Y16" s="21" t="s">
        <v>53</v>
      </c>
      <c r="Z16" s="21" t="s">
        <v>52</v>
      </c>
      <c r="AA16" s="21" t="s">
        <v>52</v>
      </c>
      <c r="AB16" s="21" t="s">
        <v>52</v>
      </c>
      <c r="AC16" s="21" t="s">
        <v>52</v>
      </c>
      <c r="AD16" s="21" t="s">
        <v>52</v>
      </c>
      <c r="AE16" s="21" t="s">
        <v>52</v>
      </c>
      <c r="AF16" s="21" t="s">
        <v>53</v>
      </c>
      <c r="AG16" s="21" t="s">
        <v>52</v>
      </c>
      <c r="AH16" s="21" t="s">
        <v>52</v>
      </c>
      <c r="AI16" s="21"/>
      <c r="AJ16" s="21">
        <f t="shared" si="0"/>
        <v>24</v>
      </c>
      <c r="AK16" s="21">
        <f t="shared" si="1"/>
        <v>2</v>
      </c>
      <c r="AL16" s="21">
        <f t="shared" si="2"/>
        <v>4</v>
      </c>
    </row>
    <row r="17" spans="1:38">
      <c r="A17" s="21" t="s">
        <v>87</v>
      </c>
      <c r="B17" s="21" t="s">
        <v>88</v>
      </c>
      <c r="C17" s="21" t="s">
        <v>8</v>
      </c>
      <c r="D17" s="21" t="s">
        <v>89</v>
      </c>
      <c r="E17" s="21" t="s">
        <v>52</v>
      </c>
      <c r="F17" s="21" t="s">
        <v>52</v>
      </c>
      <c r="G17" s="21" t="s">
        <v>52</v>
      </c>
      <c r="H17" s="21" t="s">
        <v>52</v>
      </c>
      <c r="I17" s="21" t="s">
        <v>52</v>
      </c>
      <c r="J17" s="21" t="s">
        <v>52</v>
      </c>
      <c r="K17" s="21" t="s">
        <v>53</v>
      </c>
      <c r="L17" s="21" t="s">
        <v>52</v>
      </c>
      <c r="M17" s="21" t="s">
        <v>52</v>
      </c>
      <c r="N17" s="21" t="s">
        <v>52</v>
      </c>
      <c r="O17" s="21" t="s">
        <v>52</v>
      </c>
      <c r="P17" s="21" t="s">
        <v>52</v>
      </c>
      <c r="Q17" s="21" t="s">
        <v>52</v>
      </c>
      <c r="R17" s="21" t="s">
        <v>53</v>
      </c>
      <c r="S17" s="21" t="s">
        <v>52</v>
      </c>
      <c r="T17" s="21" t="s">
        <v>52</v>
      </c>
      <c r="U17" s="21" t="s">
        <v>54</v>
      </c>
      <c r="V17" s="21" t="s">
        <v>52</v>
      </c>
      <c r="W17" s="21" t="s">
        <v>52</v>
      </c>
      <c r="X17" s="21" t="s">
        <v>52</v>
      </c>
      <c r="Y17" s="21" t="s">
        <v>53</v>
      </c>
      <c r="Z17" s="21" t="s">
        <v>52</v>
      </c>
      <c r="AA17" s="21" t="s">
        <v>52</v>
      </c>
      <c r="AB17" s="21" t="s">
        <v>52</v>
      </c>
      <c r="AC17" s="21" t="s">
        <v>52</v>
      </c>
      <c r="AD17" s="21" t="s">
        <v>52</v>
      </c>
      <c r="AE17" s="21" t="s">
        <v>52</v>
      </c>
      <c r="AF17" s="21" t="s">
        <v>53</v>
      </c>
      <c r="AG17" s="21" t="s">
        <v>52</v>
      </c>
      <c r="AH17" s="21" t="s">
        <v>52</v>
      </c>
      <c r="AI17" s="21"/>
      <c r="AJ17" s="21">
        <f t="shared" si="0"/>
        <v>25</v>
      </c>
      <c r="AK17" s="21">
        <f t="shared" si="1"/>
        <v>1</v>
      </c>
      <c r="AL17" s="21">
        <f t="shared" si="2"/>
        <v>4</v>
      </c>
    </row>
    <row r="18" spans="1:38">
      <c r="A18" s="21" t="s">
        <v>90</v>
      </c>
      <c r="B18" s="21" t="s">
        <v>91</v>
      </c>
      <c r="C18" s="21" t="s">
        <v>8</v>
      </c>
      <c r="D18" s="21" t="s">
        <v>92</v>
      </c>
      <c r="E18" s="21" t="s">
        <v>52</v>
      </c>
      <c r="F18" s="21" t="s">
        <v>52</v>
      </c>
      <c r="G18" s="21" t="s">
        <v>52</v>
      </c>
      <c r="H18" s="21" t="s">
        <v>52</v>
      </c>
      <c r="I18" s="21" t="s">
        <v>52</v>
      </c>
      <c r="J18" s="21" t="s">
        <v>52</v>
      </c>
      <c r="K18" s="21" t="s">
        <v>53</v>
      </c>
      <c r="L18" s="21" t="s">
        <v>52</v>
      </c>
      <c r="M18" s="21" t="s">
        <v>52</v>
      </c>
      <c r="N18" s="21" t="s">
        <v>52</v>
      </c>
      <c r="O18" s="21" t="s">
        <v>52</v>
      </c>
      <c r="P18" s="21" t="s">
        <v>52</v>
      </c>
      <c r="Q18" s="21" t="s">
        <v>54</v>
      </c>
      <c r="R18" s="21" t="s">
        <v>53</v>
      </c>
      <c r="S18" s="21" t="s">
        <v>52</v>
      </c>
      <c r="T18" s="21" t="s">
        <v>52</v>
      </c>
      <c r="U18" s="21" t="s">
        <v>52</v>
      </c>
      <c r="V18" s="21" t="s">
        <v>52</v>
      </c>
      <c r="W18" s="21" t="s">
        <v>52</v>
      </c>
      <c r="X18" s="21" t="s">
        <v>52</v>
      </c>
      <c r="Y18" s="21" t="s">
        <v>53</v>
      </c>
      <c r="Z18" s="21" t="s">
        <v>52</v>
      </c>
      <c r="AA18" s="21" t="s">
        <v>52</v>
      </c>
      <c r="AB18" s="21" t="s">
        <v>52</v>
      </c>
      <c r="AC18" s="21" t="s">
        <v>52</v>
      </c>
      <c r="AD18" s="21" t="s">
        <v>52</v>
      </c>
      <c r="AE18" s="21" t="s">
        <v>52</v>
      </c>
      <c r="AF18" s="21" t="s">
        <v>53</v>
      </c>
      <c r="AG18" s="21" t="s">
        <v>52</v>
      </c>
      <c r="AH18" s="21" t="s">
        <v>52</v>
      </c>
      <c r="AI18" s="21"/>
      <c r="AJ18" s="21">
        <f t="shared" si="0"/>
        <v>25</v>
      </c>
      <c r="AK18" s="21">
        <f t="shared" si="1"/>
        <v>1</v>
      </c>
      <c r="AL18" s="21">
        <f t="shared" si="2"/>
        <v>4</v>
      </c>
    </row>
    <row r="19" spans="1:38">
      <c r="A19" s="21" t="s">
        <v>93</v>
      </c>
      <c r="B19" s="21" t="s">
        <v>94</v>
      </c>
      <c r="C19" s="21" t="s">
        <v>8</v>
      </c>
      <c r="D19" s="21" t="s">
        <v>95</v>
      </c>
      <c r="E19" s="21" t="s">
        <v>52</v>
      </c>
      <c r="F19" s="21" t="s">
        <v>52</v>
      </c>
      <c r="G19" s="21" t="s">
        <v>52</v>
      </c>
      <c r="H19" s="21" t="s">
        <v>52</v>
      </c>
      <c r="I19" s="21" t="s">
        <v>52</v>
      </c>
      <c r="J19" s="21" t="s">
        <v>54</v>
      </c>
      <c r="K19" s="21" t="s">
        <v>53</v>
      </c>
      <c r="L19" s="21" t="s">
        <v>52</v>
      </c>
      <c r="M19" s="21" t="s">
        <v>52</v>
      </c>
      <c r="N19" s="21" t="s">
        <v>52</v>
      </c>
      <c r="O19" s="21" t="s">
        <v>52</v>
      </c>
      <c r="P19" s="21" t="s">
        <v>52</v>
      </c>
      <c r="Q19" s="21" t="s">
        <v>52</v>
      </c>
      <c r="R19" s="21" t="s">
        <v>53</v>
      </c>
      <c r="S19" s="21" t="s">
        <v>52</v>
      </c>
      <c r="T19" s="21" t="s">
        <v>52</v>
      </c>
      <c r="U19" s="21" t="s">
        <v>52</v>
      </c>
      <c r="V19" s="21" t="s">
        <v>52</v>
      </c>
      <c r="W19" s="21" t="s">
        <v>54</v>
      </c>
      <c r="X19" s="21" t="s">
        <v>52</v>
      </c>
      <c r="Y19" s="21" t="s">
        <v>53</v>
      </c>
      <c r="Z19" s="21" t="s">
        <v>52</v>
      </c>
      <c r="AA19" s="21" t="s">
        <v>52</v>
      </c>
      <c r="AB19" s="21" t="s">
        <v>52</v>
      </c>
      <c r="AC19" s="21" t="s">
        <v>52</v>
      </c>
      <c r="AD19" s="21" t="s">
        <v>52</v>
      </c>
      <c r="AE19" s="21" t="s">
        <v>52</v>
      </c>
      <c r="AF19" s="21" t="s">
        <v>53</v>
      </c>
      <c r="AG19" s="21" t="s">
        <v>54</v>
      </c>
      <c r="AH19" s="21" t="s">
        <v>52</v>
      </c>
      <c r="AI19" s="21"/>
      <c r="AJ19" s="21">
        <f t="shared" si="0"/>
        <v>23</v>
      </c>
      <c r="AK19" s="21">
        <f t="shared" si="1"/>
        <v>3</v>
      </c>
      <c r="AL19" s="21">
        <f t="shared" si="2"/>
        <v>4</v>
      </c>
    </row>
    <row r="20" spans="1:38">
      <c r="A20" s="21" t="s">
        <v>96</v>
      </c>
      <c r="B20" s="21" t="s">
        <v>97</v>
      </c>
      <c r="C20" s="21" t="s">
        <v>8</v>
      </c>
      <c r="D20" s="21" t="s">
        <v>98</v>
      </c>
      <c r="E20" s="21" t="s">
        <v>52</v>
      </c>
      <c r="F20" s="21" t="s">
        <v>52</v>
      </c>
      <c r="G20" s="21" t="s">
        <v>52</v>
      </c>
      <c r="H20" s="21" t="s">
        <v>52</v>
      </c>
      <c r="I20" s="21" t="s">
        <v>54</v>
      </c>
      <c r="J20" s="21" t="s">
        <v>54</v>
      </c>
      <c r="K20" s="21" t="s">
        <v>53</v>
      </c>
      <c r="L20" s="21" t="s">
        <v>52</v>
      </c>
      <c r="M20" s="21" t="s">
        <v>52</v>
      </c>
      <c r="N20" s="21" t="s">
        <v>52</v>
      </c>
      <c r="O20" s="21" t="s">
        <v>52</v>
      </c>
      <c r="P20" s="21" t="s">
        <v>52</v>
      </c>
      <c r="Q20" s="21" t="s">
        <v>52</v>
      </c>
      <c r="R20" s="21" t="s">
        <v>53</v>
      </c>
      <c r="S20" s="21" t="s">
        <v>52</v>
      </c>
      <c r="T20" s="21" t="s">
        <v>52</v>
      </c>
      <c r="U20" s="21" t="s">
        <v>52</v>
      </c>
      <c r="V20" s="21" t="s">
        <v>52</v>
      </c>
      <c r="W20" s="21" t="s">
        <v>54</v>
      </c>
      <c r="X20" s="21" t="s">
        <v>54</v>
      </c>
      <c r="Y20" s="21" t="s">
        <v>53</v>
      </c>
      <c r="Z20" s="21" t="s">
        <v>52</v>
      </c>
      <c r="AA20" s="21" t="s">
        <v>52</v>
      </c>
      <c r="AB20" s="21" t="s">
        <v>52</v>
      </c>
      <c r="AC20" s="21" t="s">
        <v>52</v>
      </c>
      <c r="AD20" s="21" t="s">
        <v>52</v>
      </c>
      <c r="AE20" s="21" t="s">
        <v>52</v>
      </c>
      <c r="AF20" s="21" t="s">
        <v>53</v>
      </c>
      <c r="AG20" s="21" t="s">
        <v>52</v>
      </c>
      <c r="AH20" s="21" t="s">
        <v>52</v>
      </c>
      <c r="AI20" s="21"/>
      <c r="AJ20" s="21">
        <f t="shared" si="0"/>
        <v>22</v>
      </c>
      <c r="AK20" s="21">
        <f t="shared" si="1"/>
        <v>4</v>
      </c>
      <c r="AL20" s="21">
        <f t="shared" si="2"/>
        <v>4</v>
      </c>
    </row>
    <row r="21" spans="1:38">
      <c r="A21" s="21" t="s">
        <v>99</v>
      </c>
      <c r="B21" s="21" t="s">
        <v>100</v>
      </c>
      <c r="C21" s="21" t="s">
        <v>8</v>
      </c>
      <c r="D21" s="21" t="s">
        <v>101</v>
      </c>
      <c r="E21" s="21" t="s">
        <v>52</v>
      </c>
      <c r="F21" s="21" t="s">
        <v>52</v>
      </c>
      <c r="G21" s="21" t="s">
        <v>52</v>
      </c>
      <c r="H21" s="21" t="s">
        <v>52</v>
      </c>
      <c r="I21" s="21" t="s">
        <v>52</v>
      </c>
      <c r="J21" s="21" t="s">
        <v>52</v>
      </c>
      <c r="K21" s="21" t="s">
        <v>53</v>
      </c>
      <c r="L21" s="21" t="s">
        <v>52</v>
      </c>
      <c r="M21" s="21" t="s">
        <v>52</v>
      </c>
      <c r="N21" s="21" t="s">
        <v>52</v>
      </c>
      <c r="O21" s="21" t="s">
        <v>52</v>
      </c>
      <c r="P21" s="21" t="s">
        <v>52</v>
      </c>
      <c r="Q21" s="21" t="s">
        <v>52</v>
      </c>
      <c r="R21" s="21" t="s">
        <v>53</v>
      </c>
      <c r="S21" s="21" t="s">
        <v>52</v>
      </c>
      <c r="T21" s="21" t="s">
        <v>52</v>
      </c>
      <c r="U21" s="21" t="s">
        <v>52</v>
      </c>
      <c r="V21" s="21" t="s">
        <v>52</v>
      </c>
      <c r="W21" s="21" t="s">
        <v>52</v>
      </c>
      <c r="X21" s="21" t="s">
        <v>52</v>
      </c>
      <c r="Y21" s="21" t="s">
        <v>53</v>
      </c>
      <c r="Z21" s="21" t="s">
        <v>52</v>
      </c>
      <c r="AA21" s="21" t="s">
        <v>52</v>
      </c>
      <c r="AB21" s="21" t="s">
        <v>52</v>
      </c>
      <c r="AC21" s="21" t="s">
        <v>52</v>
      </c>
      <c r="AD21" s="21" t="s">
        <v>52</v>
      </c>
      <c r="AE21" s="21" t="s">
        <v>52</v>
      </c>
      <c r="AF21" s="21" t="s">
        <v>53</v>
      </c>
      <c r="AG21" s="21" t="s">
        <v>52</v>
      </c>
      <c r="AH21" s="21" t="s">
        <v>52</v>
      </c>
      <c r="AI21" s="21"/>
      <c r="AJ21" s="21">
        <f t="shared" si="0"/>
        <v>26</v>
      </c>
      <c r="AK21" s="21">
        <f t="shared" si="1"/>
        <v>0</v>
      </c>
      <c r="AL21" s="21">
        <f t="shared" si="2"/>
        <v>4</v>
      </c>
    </row>
    <row r="22" spans="1:38">
      <c r="A22" s="21" t="s">
        <v>102</v>
      </c>
      <c r="B22" s="21" t="s">
        <v>103</v>
      </c>
      <c r="C22" s="21" t="s">
        <v>8</v>
      </c>
      <c r="D22" s="21" t="s">
        <v>104</v>
      </c>
      <c r="E22" s="21" t="s">
        <v>52</v>
      </c>
      <c r="F22" s="21" t="s">
        <v>52</v>
      </c>
      <c r="G22" s="21" t="s">
        <v>52</v>
      </c>
      <c r="H22" s="21" t="s">
        <v>52</v>
      </c>
      <c r="I22" s="21" t="s">
        <v>52</v>
      </c>
      <c r="J22" s="21" t="s">
        <v>52</v>
      </c>
      <c r="K22" s="21" t="s">
        <v>53</v>
      </c>
      <c r="L22" s="21" t="s">
        <v>52</v>
      </c>
      <c r="M22" s="21" t="s">
        <v>52</v>
      </c>
      <c r="N22" s="21" t="s">
        <v>52</v>
      </c>
      <c r="O22" s="21" t="s">
        <v>52</v>
      </c>
      <c r="P22" s="21" t="s">
        <v>54</v>
      </c>
      <c r="Q22" s="21" t="s">
        <v>52</v>
      </c>
      <c r="R22" s="21" t="s">
        <v>53</v>
      </c>
      <c r="S22" s="21" t="s">
        <v>52</v>
      </c>
      <c r="T22" s="21" t="s">
        <v>52</v>
      </c>
      <c r="U22" s="21" t="s">
        <v>52</v>
      </c>
      <c r="V22" s="21" t="s">
        <v>52</v>
      </c>
      <c r="W22" s="21" t="s">
        <v>52</v>
      </c>
      <c r="X22" s="21" t="s">
        <v>52</v>
      </c>
      <c r="Y22" s="21" t="s">
        <v>53</v>
      </c>
      <c r="Z22" s="21" t="s">
        <v>52</v>
      </c>
      <c r="AA22" s="21" t="s">
        <v>52</v>
      </c>
      <c r="AB22" s="21" t="s">
        <v>52</v>
      </c>
      <c r="AC22" s="21" t="s">
        <v>52</v>
      </c>
      <c r="AD22" s="21" t="s">
        <v>52</v>
      </c>
      <c r="AE22" s="21" t="s">
        <v>54</v>
      </c>
      <c r="AF22" s="21" t="s">
        <v>53</v>
      </c>
      <c r="AG22" s="21" t="s">
        <v>52</v>
      </c>
      <c r="AH22" s="21" t="s">
        <v>52</v>
      </c>
      <c r="AI22" s="21"/>
      <c r="AJ22" s="21">
        <f t="shared" si="0"/>
        <v>24</v>
      </c>
      <c r="AK22" s="21">
        <f t="shared" si="1"/>
        <v>2</v>
      </c>
      <c r="AL22" s="21">
        <f t="shared" si="2"/>
        <v>4</v>
      </c>
    </row>
    <row r="23" spans="1:38">
      <c r="A23" s="21" t="s">
        <v>105</v>
      </c>
      <c r="B23" s="21" t="s">
        <v>106</v>
      </c>
      <c r="C23" s="21" t="s">
        <v>8</v>
      </c>
      <c r="D23" s="21" t="s">
        <v>107</v>
      </c>
      <c r="E23" s="21" t="s">
        <v>52</v>
      </c>
      <c r="F23" s="21" t="s">
        <v>52</v>
      </c>
      <c r="G23" s="21" t="s">
        <v>52</v>
      </c>
      <c r="H23" s="21" t="s">
        <v>52</v>
      </c>
      <c r="I23" s="21" t="s">
        <v>52</v>
      </c>
      <c r="J23" s="21" t="s">
        <v>52</v>
      </c>
      <c r="K23" s="21" t="s">
        <v>53</v>
      </c>
      <c r="L23" s="21" t="s">
        <v>52</v>
      </c>
      <c r="M23" s="21" t="s">
        <v>52</v>
      </c>
      <c r="N23" s="21" t="s">
        <v>52</v>
      </c>
      <c r="O23" s="21" t="s">
        <v>52</v>
      </c>
      <c r="P23" s="21" t="s">
        <v>52</v>
      </c>
      <c r="Q23" s="21" t="s">
        <v>52</v>
      </c>
      <c r="R23" s="21" t="s">
        <v>53</v>
      </c>
      <c r="S23" s="21" t="s">
        <v>52</v>
      </c>
      <c r="T23" s="21" t="s">
        <v>52</v>
      </c>
      <c r="U23" s="21" t="s">
        <v>52</v>
      </c>
      <c r="V23" s="21" t="s">
        <v>52</v>
      </c>
      <c r="W23" s="21" t="s">
        <v>52</v>
      </c>
      <c r="X23" s="21" t="s">
        <v>52</v>
      </c>
      <c r="Y23" s="21" t="s">
        <v>53</v>
      </c>
      <c r="Z23" s="21" t="s">
        <v>52</v>
      </c>
      <c r="AA23" s="21" t="s">
        <v>52</v>
      </c>
      <c r="AB23" s="21" t="s">
        <v>52</v>
      </c>
      <c r="AC23" s="21" t="s">
        <v>52</v>
      </c>
      <c r="AD23" s="21" t="s">
        <v>52</v>
      </c>
      <c r="AE23" s="21" t="s">
        <v>52</v>
      </c>
      <c r="AF23" s="21" t="s">
        <v>53</v>
      </c>
      <c r="AG23" s="21" t="s">
        <v>52</v>
      </c>
      <c r="AH23" s="21" t="s">
        <v>52</v>
      </c>
      <c r="AI23" s="21"/>
      <c r="AJ23" s="21">
        <f t="shared" si="0"/>
        <v>26</v>
      </c>
      <c r="AK23" s="21">
        <f t="shared" si="1"/>
        <v>0</v>
      </c>
      <c r="AL23" s="21">
        <f t="shared" si="2"/>
        <v>4</v>
      </c>
    </row>
    <row r="24" spans="1:38">
      <c r="A24" s="21" t="s">
        <v>108</v>
      </c>
      <c r="B24" s="21" t="s">
        <v>109</v>
      </c>
      <c r="C24" s="21" t="s">
        <v>8</v>
      </c>
      <c r="D24" s="21" t="s">
        <v>110</v>
      </c>
      <c r="E24" s="21" t="s">
        <v>52</v>
      </c>
      <c r="F24" s="21" t="s">
        <v>52</v>
      </c>
      <c r="G24" s="21" t="s">
        <v>52</v>
      </c>
      <c r="H24" s="21" t="s">
        <v>52</v>
      </c>
      <c r="I24" s="21" t="s">
        <v>52</v>
      </c>
      <c r="J24" s="21" t="s">
        <v>52</v>
      </c>
      <c r="K24" s="21" t="s">
        <v>53</v>
      </c>
      <c r="L24" s="21" t="s">
        <v>52</v>
      </c>
      <c r="M24" s="21" t="s">
        <v>52</v>
      </c>
      <c r="N24" s="21" t="s">
        <v>52</v>
      </c>
      <c r="O24" s="21" t="s">
        <v>52</v>
      </c>
      <c r="P24" s="21" t="s">
        <v>52</v>
      </c>
      <c r="Q24" s="21" t="s">
        <v>54</v>
      </c>
      <c r="R24" s="21" t="s">
        <v>53</v>
      </c>
      <c r="S24" s="21" t="s">
        <v>52</v>
      </c>
      <c r="T24" s="21" t="s">
        <v>52</v>
      </c>
      <c r="U24" s="21" t="s">
        <v>52</v>
      </c>
      <c r="V24" s="21" t="s">
        <v>52</v>
      </c>
      <c r="W24" s="21" t="s">
        <v>52</v>
      </c>
      <c r="X24" s="21" t="s">
        <v>52</v>
      </c>
      <c r="Y24" s="21" t="s">
        <v>53</v>
      </c>
      <c r="Z24" s="21" t="s">
        <v>52</v>
      </c>
      <c r="AA24" s="21" t="s">
        <v>52</v>
      </c>
      <c r="AB24" s="21" t="s">
        <v>52</v>
      </c>
      <c r="AC24" s="21" t="s">
        <v>52</v>
      </c>
      <c r="AD24" s="21" t="s">
        <v>52</v>
      </c>
      <c r="AE24" s="21" t="s">
        <v>52</v>
      </c>
      <c r="AF24" s="21" t="s">
        <v>53</v>
      </c>
      <c r="AG24" s="21" t="s">
        <v>52</v>
      </c>
      <c r="AH24" s="21" t="s">
        <v>52</v>
      </c>
      <c r="AI24" s="21"/>
      <c r="AJ24" s="21">
        <f t="shared" si="0"/>
        <v>25</v>
      </c>
      <c r="AK24" s="21">
        <f t="shared" si="1"/>
        <v>1</v>
      </c>
      <c r="AL24" s="21">
        <f t="shared" si="2"/>
        <v>4</v>
      </c>
    </row>
    <row r="25" spans="1:38">
      <c r="A25" s="21" t="s">
        <v>111</v>
      </c>
      <c r="B25" s="21" t="s">
        <v>112</v>
      </c>
      <c r="C25" s="21" t="s">
        <v>8</v>
      </c>
      <c r="D25" s="21" t="s">
        <v>113</v>
      </c>
      <c r="E25" s="21" t="s">
        <v>52</v>
      </c>
      <c r="F25" s="21" t="s">
        <v>52</v>
      </c>
      <c r="G25" s="21" t="s">
        <v>52</v>
      </c>
      <c r="H25" s="21" t="s">
        <v>52</v>
      </c>
      <c r="I25" s="21" t="s">
        <v>52</v>
      </c>
      <c r="J25" s="21" t="s">
        <v>52</v>
      </c>
      <c r="K25" s="21" t="s">
        <v>53</v>
      </c>
      <c r="L25" s="21" t="s">
        <v>52</v>
      </c>
      <c r="M25" s="21" t="s">
        <v>52</v>
      </c>
      <c r="N25" s="21" t="s">
        <v>52</v>
      </c>
      <c r="O25" s="21" t="s">
        <v>52</v>
      </c>
      <c r="P25" s="21" t="s">
        <v>52</v>
      </c>
      <c r="Q25" s="21" t="s">
        <v>52</v>
      </c>
      <c r="R25" s="21" t="s">
        <v>53</v>
      </c>
      <c r="S25" s="21" t="s">
        <v>52</v>
      </c>
      <c r="T25" s="21" t="s">
        <v>52</v>
      </c>
      <c r="U25" s="21" t="s">
        <v>52</v>
      </c>
      <c r="V25" s="21" t="s">
        <v>52</v>
      </c>
      <c r="W25" s="21" t="s">
        <v>52</v>
      </c>
      <c r="X25" s="21" t="s">
        <v>52</v>
      </c>
      <c r="Y25" s="21" t="s">
        <v>53</v>
      </c>
      <c r="Z25" s="21" t="s">
        <v>52</v>
      </c>
      <c r="AA25" s="21" t="s">
        <v>52</v>
      </c>
      <c r="AB25" s="21" t="s">
        <v>52</v>
      </c>
      <c r="AC25" s="21" t="s">
        <v>52</v>
      </c>
      <c r="AD25" s="21" t="s">
        <v>52</v>
      </c>
      <c r="AE25" s="21" t="s">
        <v>52</v>
      </c>
      <c r="AF25" s="21" t="s">
        <v>53</v>
      </c>
      <c r="AG25" s="21" t="s">
        <v>52</v>
      </c>
      <c r="AH25" s="21" t="s">
        <v>52</v>
      </c>
      <c r="AI25" s="21"/>
      <c r="AJ25" s="21">
        <f t="shared" si="0"/>
        <v>26</v>
      </c>
      <c r="AK25" s="21">
        <f t="shared" si="1"/>
        <v>0</v>
      </c>
      <c r="AL25" s="21">
        <f t="shared" si="2"/>
        <v>4</v>
      </c>
    </row>
    <row r="26" spans="1:38">
      <c r="A26" s="21" t="s">
        <v>114</v>
      </c>
      <c r="B26" s="21" t="s">
        <v>115</v>
      </c>
      <c r="C26" s="21" t="s">
        <v>8</v>
      </c>
      <c r="D26" s="21" t="s">
        <v>116</v>
      </c>
      <c r="E26" s="21" t="s">
        <v>52</v>
      </c>
      <c r="F26" s="21" t="s">
        <v>52</v>
      </c>
      <c r="G26" s="21" t="s">
        <v>52</v>
      </c>
      <c r="H26" s="21" t="s">
        <v>52</v>
      </c>
      <c r="I26" s="21" t="s">
        <v>52</v>
      </c>
      <c r="J26" s="21" t="s">
        <v>52</v>
      </c>
      <c r="K26" s="21" t="s">
        <v>53</v>
      </c>
      <c r="L26" s="21" t="s">
        <v>54</v>
      </c>
      <c r="M26" s="21" t="s">
        <v>52</v>
      </c>
      <c r="N26" s="21" t="s">
        <v>52</v>
      </c>
      <c r="O26" s="21" t="s">
        <v>52</v>
      </c>
      <c r="P26" s="21" t="s">
        <v>52</v>
      </c>
      <c r="Q26" s="21"/>
      <c r="R26" s="21" t="s">
        <v>53</v>
      </c>
      <c r="S26" s="21" t="s">
        <v>52</v>
      </c>
      <c r="T26" s="21" t="s">
        <v>52</v>
      </c>
      <c r="U26" s="21" t="s">
        <v>52</v>
      </c>
      <c r="V26" s="21" t="s">
        <v>52</v>
      </c>
      <c r="W26" s="21" t="s">
        <v>52</v>
      </c>
      <c r="X26" s="21" t="s">
        <v>52</v>
      </c>
      <c r="Y26" s="21" t="s">
        <v>53</v>
      </c>
      <c r="Z26" s="21" t="s">
        <v>52</v>
      </c>
      <c r="AA26" s="21" t="s">
        <v>52</v>
      </c>
      <c r="AB26" s="21" t="s">
        <v>52</v>
      </c>
      <c r="AC26" s="21" t="s">
        <v>52</v>
      </c>
      <c r="AD26" s="21" t="s">
        <v>52</v>
      </c>
      <c r="AE26" s="21" t="s">
        <v>52</v>
      </c>
      <c r="AF26" s="21" t="s">
        <v>53</v>
      </c>
      <c r="AG26" s="21" t="s">
        <v>52</v>
      </c>
      <c r="AH26" s="21" t="s">
        <v>52</v>
      </c>
      <c r="AI26" s="21"/>
      <c r="AJ26" s="21">
        <f t="shared" si="0"/>
        <v>24</v>
      </c>
      <c r="AK26" s="21">
        <f t="shared" si="1"/>
        <v>1</v>
      </c>
      <c r="AL26" s="21">
        <f t="shared" si="2"/>
        <v>4</v>
      </c>
    </row>
    <row r="27" spans="1:38">
      <c r="A27" s="21" t="s">
        <v>117</v>
      </c>
      <c r="B27" s="21" t="s">
        <v>118</v>
      </c>
      <c r="C27" s="21" t="s">
        <v>8</v>
      </c>
      <c r="D27" s="21" t="s">
        <v>119</v>
      </c>
      <c r="E27" s="21" t="s">
        <v>52</v>
      </c>
      <c r="F27" s="21" t="s">
        <v>52</v>
      </c>
      <c r="G27" s="21" t="s">
        <v>54</v>
      </c>
      <c r="H27" s="21" t="s">
        <v>52</v>
      </c>
      <c r="I27" s="21" t="s">
        <v>52</v>
      </c>
      <c r="J27" s="21" t="s">
        <v>52</v>
      </c>
      <c r="K27" s="21" t="s">
        <v>53</v>
      </c>
      <c r="L27" s="21" t="s">
        <v>52</v>
      </c>
      <c r="M27" s="21" t="s">
        <v>52</v>
      </c>
      <c r="N27" s="21" t="s">
        <v>52</v>
      </c>
      <c r="O27" s="21" t="s">
        <v>52</v>
      </c>
      <c r="P27" s="21" t="s">
        <v>52</v>
      </c>
      <c r="Q27" s="21" t="s">
        <v>52</v>
      </c>
      <c r="R27" s="21" t="s">
        <v>53</v>
      </c>
      <c r="S27" s="21" t="s">
        <v>52</v>
      </c>
      <c r="T27" s="21" t="s">
        <v>52</v>
      </c>
      <c r="U27" s="21" t="s">
        <v>52</v>
      </c>
      <c r="V27" s="21" t="s">
        <v>52</v>
      </c>
      <c r="W27" s="21" t="s">
        <v>52</v>
      </c>
      <c r="X27" s="21" t="s">
        <v>52</v>
      </c>
      <c r="Y27" s="21" t="s">
        <v>53</v>
      </c>
      <c r="Z27" s="21" t="s">
        <v>54</v>
      </c>
      <c r="AA27" s="21" t="s">
        <v>52</v>
      </c>
      <c r="AB27" s="21" t="s">
        <v>52</v>
      </c>
      <c r="AC27" s="21" t="s">
        <v>52</v>
      </c>
      <c r="AD27" s="21" t="s">
        <v>52</v>
      </c>
      <c r="AE27" s="21" t="s">
        <v>52</v>
      </c>
      <c r="AF27" s="21" t="s">
        <v>53</v>
      </c>
      <c r="AG27" s="21" t="s">
        <v>52</v>
      </c>
      <c r="AH27" s="21" t="s">
        <v>52</v>
      </c>
      <c r="AI27" s="21"/>
      <c r="AJ27" s="21">
        <f t="shared" si="0"/>
        <v>24</v>
      </c>
      <c r="AK27" s="21">
        <f t="shared" si="1"/>
        <v>2</v>
      </c>
      <c r="AL27" s="21">
        <f t="shared" si="2"/>
        <v>4</v>
      </c>
    </row>
    <row r="28" spans="1:38">
      <c r="A28" s="21" t="s">
        <v>120</v>
      </c>
      <c r="B28" s="21" t="s">
        <v>121</v>
      </c>
      <c r="C28" s="21" t="s">
        <v>8</v>
      </c>
      <c r="D28" s="21" t="s">
        <v>122</v>
      </c>
      <c r="E28" s="21" t="s">
        <v>52</v>
      </c>
      <c r="F28" s="21" t="s">
        <v>52</v>
      </c>
      <c r="G28" s="21" t="s">
        <v>52</v>
      </c>
      <c r="H28" s="21" t="s">
        <v>52</v>
      </c>
      <c r="I28" s="21" t="s">
        <v>52</v>
      </c>
      <c r="J28" s="21" t="s">
        <v>54</v>
      </c>
      <c r="K28" s="21" t="s">
        <v>53</v>
      </c>
      <c r="L28" s="21" t="s">
        <v>52</v>
      </c>
      <c r="M28" s="21" t="s">
        <v>52</v>
      </c>
      <c r="N28" s="21" t="s">
        <v>52</v>
      </c>
      <c r="O28" s="21" t="s">
        <v>52</v>
      </c>
      <c r="P28" s="21" t="s">
        <v>52</v>
      </c>
      <c r="Q28" s="21" t="s">
        <v>52</v>
      </c>
      <c r="R28" s="21" t="s">
        <v>53</v>
      </c>
      <c r="S28" s="21" t="s">
        <v>52</v>
      </c>
      <c r="T28" s="21" t="s">
        <v>52</v>
      </c>
      <c r="U28" s="21" t="s">
        <v>52</v>
      </c>
      <c r="V28" s="21" t="s">
        <v>52</v>
      </c>
      <c r="W28" s="21" t="s">
        <v>52</v>
      </c>
      <c r="X28" s="21" t="s">
        <v>52</v>
      </c>
      <c r="Y28" s="21" t="s">
        <v>53</v>
      </c>
      <c r="Z28" s="21" t="s">
        <v>52</v>
      </c>
      <c r="AA28" s="21" t="s">
        <v>52</v>
      </c>
      <c r="AB28" s="21" t="s">
        <v>52</v>
      </c>
      <c r="AC28" s="21" t="s">
        <v>52</v>
      </c>
      <c r="AD28" s="21" t="s">
        <v>52</v>
      </c>
      <c r="AE28" s="21" t="s">
        <v>52</v>
      </c>
      <c r="AF28" s="21" t="s">
        <v>53</v>
      </c>
      <c r="AG28" s="21" t="s">
        <v>52</v>
      </c>
      <c r="AH28" s="21" t="s">
        <v>52</v>
      </c>
      <c r="AI28" s="21"/>
      <c r="AJ28" s="21">
        <f t="shared" si="0"/>
        <v>25</v>
      </c>
      <c r="AK28" s="21">
        <f t="shared" si="1"/>
        <v>1</v>
      </c>
      <c r="AL28" s="21">
        <f t="shared" si="2"/>
        <v>4</v>
      </c>
    </row>
    <row r="29" spans="1:38">
      <c r="A29" s="21" t="s">
        <v>123</v>
      </c>
      <c r="B29" s="21" t="s">
        <v>124</v>
      </c>
      <c r="C29" s="21" t="s">
        <v>8</v>
      </c>
      <c r="D29" s="21" t="s">
        <v>125</v>
      </c>
      <c r="E29" s="21" t="s">
        <v>52</v>
      </c>
      <c r="F29" s="21" t="s">
        <v>52</v>
      </c>
      <c r="G29" s="21" t="s">
        <v>52</v>
      </c>
      <c r="H29" s="21" t="s">
        <v>52</v>
      </c>
      <c r="I29" s="21" t="s">
        <v>52</v>
      </c>
      <c r="J29" s="21" t="s">
        <v>52</v>
      </c>
      <c r="K29" s="21" t="s">
        <v>53</v>
      </c>
      <c r="L29" s="21" t="s">
        <v>52</v>
      </c>
      <c r="M29" s="21" t="s">
        <v>52</v>
      </c>
      <c r="N29" s="21" t="s">
        <v>52</v>
      </c>
      <c r="O29" s="21" t="s">
        <v>52</v>
      </c>
      <c r="P29" s="21" t="s">
        <v>52</v>
      </c>
      <c r="Q29" s="21" t="s">
        <v>52</v>
      </c>
      <c r="R29" s="21" t="s">
        <v>53</v>
      </c>
      <c r="S29" s="21" t="s">
        <v>52</v>
      </c>
      <c r="T29" s="21" t="s">
        <v>52</v>
      </c>
      <c r="U29" s="21" t="s">
        <v>52</v>
      </c>
      <c r="V29" s="21" t="s">
        <v>52</v>
      </c>
      <c r="W29" s="21" t="s">
        <v>52</v>
      </c>
      <c r="X29" s="21" t="s">
        <v>52</v>
      </c>
      <c r="Y29" s="21" t="s">
        <v>53</v>
      </c>
      <c r="Z29" s="21" t="s">
        <v>52</v>
      </c>
      <c r="AA29" s="21" t="s">
        <v>52</v>
      </c>
      <c r="AB29" s="21" t="s">
        <v>52</v>
      </c>
      <c r="AC29" s="21" t="s">
        <v>52</v>
      </c>
      <c r="AD29" s="21" t="s">
        <v>52</v>
      </c>
      <c r="AE29" s="21" t="s">
        <v>52</v>
      </c>
      <c r="AF29" s="21" t="s">
        <v>53</v>
      </c>
      <c r="AG29" s="21" t="s">
        <v>52</v>
      </c>
      <c r="AH29" s="21" t="s">
        <v>52</v>
      </c>
      <c r="AI29" s="21"/>
      <c r="AJ29" s="21">
        <f t="shared" si="0"/>
        <v>26</v>
      </c>
      <c r="AK29" s="21">
        <f t="shared" si="1"/>
        <v>0</v>
      </c>
      <c r="AL29" s="21">
        <f t="shared" si="2"/>
        <v>4</v>
      </c>
    </row>
    <row r="30" spans="1:38">
      <c r="A30" s="21" t="s">
        <v>126</v>
      </c>
      <c r="B30" s="21" t="s">
        <v>127</v>
      </c>
      <c r="C30" s="21" t="s">
        <v>8</v>
      </c>
      <c r="D30" s="21" t="s">
        <v>128</v>
      </c>
      <c r="E30" s="21" t="s">
        <v>52</v>
      </c>
      <c r="F30" s="21" t="s">
        <v>52</v>
      </c>
      <c r="G30" s="21" t="s">
        <v>52</v>
      </c>
      <c r="H30" s="21" t="s">
        <v>52</v>
      </c>
      <c r="I30" s="21" t="s">
        <v>52</v>
      </c>
      <c r="J30" s="21" t="s">
        <v>52</v>
      </c>
      <c r="K30" s="21" t="s">
        <v>53</v>
      </c>
      <c r="L30" s="21" t="s">
        <v>52</v>
      </c>
      <c r="M30" s="21" t="s">
        <v>52</v>
      </c>
      <c r="N30" s="21" t="s">
        <v>52</v>
      </c>
      <c r="O30" s="21" t="s">
        <v>52</v>
      </c>
      <c r="P30" s="21" t="s">
        <v>52</v>
      </c>
      <c r="Q30" s="21" t="s">
        <v>52</v>
      </c>
      <c r="R30" s="21" t="s">
        <v>53</v>
      </c>
      <c r="S30" s="21" t="s">
        <v>52</v>
      </c>
      <c r="T30" s="21" t="s">
        <v>52</v>
      </c>
      <c r="U30" s="21" t="s">
        <v>52</v>
      </c>
      <c r="V30" s="21" t="s">
        <v>52</v>
      </c>
      <c r="W30" s="21" t="s">
        <v>52</v>
      </c>
      <c r="X30" s="21" t="s">
        <v>52</v>
      </c>
      <c r="Y30" s="21" t="s">
        <v>53</v>
      </c>
      <c r="Z30" s="21" t="s">
        <v>52</v>
      </c>
      <c r="AA30" s="21" t="s">
        <v>52</v>
      </c>
      <c r="AB30" s="21" t="s">
        <v>52</v>
      </c>
      <c r="AC30" s="21" t="s">
        <v>52</v>
      </c>
      <c r="AD30" s="21" t="s">
        <v>52</v>
      </c>
      <c r="AE30" s="21" t="s">
        <v>52</v>
      </c>
      <c r="AF30" s="21" t="s">
        <v>53</v>
      </c>
      <c r="AG30" s="21" t="s">
        <v>52</v>
      </c>
      <c r="AH30" s="21" t="s">
        <v>52</v>
      </c>
      <c r="AI30" s="21"/>
      <c r="AJ30" s="21">
        <f t="shared" si="0"/>
        <v>26</v>
      </c>
      <c r="AK30" s="21">
        <f t="shared" si="1"/>
        <v>0</v>
      </c>
      <c r="AL30" s="21">
        <f t="shared" si="2"/>
        <v>4</v>
      </c>
    </row>
    <row r="31" spans="1:38">
      <c r="A31" s="21" t="s">
        <v>129</v>
      </c>
      <c r="B31" s="21" t="s">
        <v>130</v>
      </c>
      <c r="C31" s="21" t="s">
        <v>8</v>
      </c>
      <c r="D31" s="21" t="s">
        <v>128</v>
      </c>
      <c r="E31" s="21" t="s">
        <v>52</v>
      </c>
      <c r="F31" s="21" t="s">
        <v>52</v>
      </c>
      <c r="G31" s="21" t="s">
        <v>52</v>
      </c>
      <c r="H31" s="21" t="s">
        <v>52</v>
      </c>
      <c r="I31" s="21" t="s">
        <v>52</v>
      </c>
      <c r="J31" s="21" t="s">
        <v>52</v>
      </c>
      <c r="K31" s="21" t="s">
        <v>53</v>
      </c>
      <c r="L31" s="21" t="s">
        <v>52</v>
      </c>
      <c r="M31" s="21" t="s">
        <v>52</v>
      </c>
      <c r="N31" s="21" t="s">
        <v>52</v>
      </c>
      <c r="O31" s="21" t="s">
        <v>52</v>
      </c>
      <c r="P31" s="21" t="s">
        <v>52</v>
      </c>
      <c r="Q31" s="21" t="s">
        <v>52</v>
      </c>
      <c r="R31" s="21" t="s">
        <v>53</v>
      </c>
      <c r="S31" s="21" t="s">
        <v>52</v>
      </c>
      <c r="T31" s="21" t="s">
        <v>52</v>
      </c>
      <c r="U31" s="21" t="s">
        <v>52</v>
      </c>
      <c r="V31" s="21" t="s">
        <v>52</v>
      </c>
      <c r="W31" s="21" t="s">
        <v>52</v>
      </c>
      <c r="X31" s="21" t="s">
        <v>52</v>
      </c>
      <c r="Y31" s="21" t="s">
        <v>53</v>
      </c>
      <c r="Z31" s="21" t="s">
        <v>52</v>
      </c>
      <c r="AA31" s="21" t="s">
        <v>52</v>
      </c>
      <c r="AB31" s="21" t="s">
        <v>52</v>
      </c>
      <c r="AC31" s="21" t="s">
        <v>52</v>
      </c>
      <c r="AD31" s="21" t="s">
        <v>52</v>
      </c>
      <c r="AE31" s="21" t="s">
        <v>52</v>
      </c>
      <c r="AF31" s="21" t="s">
        <v>53</v>
      </c>
      <c r="AG31" s="21" t="s">
        <v>52</v>
      </c>
      <c r="AH31" s="21" t="s">
        <v>52</v>
      </c>
      <c r="AI31" s="21"/>
      <c r="AJ31" s="21">
        <f t="shared" si="0"/>
        <v>26</v>
      </c>
      <c r="AK31" s="21">
        <f t="shared" si="1"/>
        <v>0</v>
      </c>
      <c r="AL31" s="21">
        <f t="shared" si="2"/>
        <v>4</v>
      </c>
    </row>
    <row r="32" spans="1:38">
      <c r="A32" s="21" t="s">
        <v>131</v>
      </c>
      <c r="B32" s="21" t="s">
        <v>132</v>
      </c>
      <c r="C32" s="21" t="s">
        <v>8</v>
      </c>
      <c r="D32" s="21" t="s">
        <v>133</v>
      </c>
      <c r="E32" s="21" t="s">
        <v>52</v>
      </c>
      <c r="F32" s="21" t="s">
        <v>52</v>
      </c>
      <c r="G32" s="21" t="s">
        <v>52</v>
      </c>
      <c r="H32" s="21" t="s">
        <v>52</v>
      </c>
      <c r="I32" s="21" t="s">
        <v>52</v>
      </c>
      <c r="J32" s="21" t="s">
        <v>52</v>
      </c>
      <c r="K32" s="21" t="s">
        <v>53</v>
      </c>
      <c r="L32" s="21" t="s">
        <v>52</v>
      </c>
      <c r="M32" s="21" t="s">
        <v>52</v>
      </c>
      <c r="N32" s="21" t="s">
        <v>52</v>
      </c>
      <c r="O32" s="21" t="s">
        <v>52</v>
      </c>
      <c r="P32" s="21" t="s">
        <v>52</v>
      </c>
      <c r="Q32" s="21" t="s">
        <v>52</v>
      </c>
      <c r="R32" s="21" t="s">
        <v>53</v>
      </c>
      <c r="S32" s="21" t="s">
        <v>52</v>
      </c>
      <c r="T32" s="21" t="s">
        <v>52</v>
      </c>
      <c r="U32" s="21" t="s">
        <v>52</v>
      </c>
      <c r="V32" s="21" t="s">
        <v>52</v>
      </c>
      <c r="W32" s="21" t="s">
        <v>52</v>
      </c>
      <c r="X32" s="21" t="s">
        <v>52</v>
      </c>
      <c r="Y32" s="21" t="s">
        <v>53</v>
      </c>
      <c r="Z32" s="21" t="s">
        <v>52</v>
      </c>
      <c r="AA32" s="21" t="s">
        <v>52</v>
      </c>
      <c r="AB32" s="21" t="s">
        <v>52</v>
      </c>
      <c r="AC32" s="21" t="s">
        <v>52</v>
      </c>
      <c r="AD32" s="21" t="s">
        <v>52</v>
      </c>
      <c r="AE32" s="21" t="s">
        <v>52</v>
      </c>
      <c r="AF32" s="21" t="s">
        <v>53</v>
      </c>
      <c r="AG32" s="21" t="s">
        <v>52</v>
      </c>
      <c r="AH32" s="21" t="s">
        <v>52</v>
      </c>
      <c r="AI32" s="21"/>
      <c r="AJ32" s="21">
        <f t="shared" si="0"/>
        <v>26</v>
      </c>
      <c r="AK32" s="21">
        <f t="shared" si="1"/>
        <v>0</v>
      </c>
      <c r="AL32" s="21">
        <f t="shared" si="2"/>
        <v>4</v>
      </c>
    </row>
    <row r="33" spans="1:38">
      <c r="A33" s="21" t="s">
        <v>134</v>
      </c>
      <c r="B33" s="21" t="s">
        <v>135</v>
      </c>
      <c r="C33" s="21" t="s">
        <v>8</v>
      </c>
      <c r="D33" s="21" t="s">
        <v>133</v>
      </c>
      <c r="E33" s="21" t="s">
        <v>52</v>
      </c>
      <c r="F33" s="21" t="s">
        <v>52</v>
      </c>
      <c r="G33" s="21" t="s">
        <v>52</v>
      </c>
      <c r="H33" s="21" t="s">
        <v>52</v>
      </c>
      <c r="I33" s="21" t="s">
        <v>52</v>
      </c>
      <c r="J33" s="21" t="s">
        <v>52</v>
      </c>
      <c r="K33" s="21" t="s">
        <v>53</v>
      </c>
      <c r="L33" s="21" t="s">
        <v>52</v>
      </c>
      <c r="M33" s="21" t="s">
        <v>52</v>
      </c>
      <c r="N33" s="21" t="s">
        <v>52</v>
      </c>
      <c r="O33" s="21" t="s">
        <v>52</v>
      </c>
      <c r="P33" s="21" t="s">
        <v>52</v>
      </c>
      <c r="Q33" s="21" t="s">
        <v>52</v>
      </c>
      <c r="R33" s="21" t="s">
        <v>53</v>
      </c>
      <c r="S33" s="21" t="s">
        <v>52</v>
      </c>
      <c r="T33" s="21" t="s">
        <v>52</v>
      </c>
      <c r="U33" s="21" t="s">
        <v>52</v>
      </c>
      <c r="V33" s="21" t="s">
        <v>52</v>
      </c>
      <c r="W33" s="21" t="s">
        <v>52</v>
      </c>
      <c r="X33" s="21" t="s">
        <v>52</v>
      </c>
      <c r="Y33" s="21" t="s">
        <v>53</v>
      </c>
      <c r="Z33" s="21" t="s">
        <v>52</v>
      </c>
      <c r="AA33" s="21" t="s">
        <v>52</v>
      </c>
      <c r="AB33" s="21" t="s">
        <v>52</v>
      </c>
      <c r="AC33" s="21" t="s">
        <v>52</v>
      </c>
      <c r="AD33" s="21" t="s">
        <v>52</v>
      </c>
      <c r="AE33" s="21" t="s">
        <v>52</v>
      </c>
      <c r="AF33" s="21" t="s">
        <v>53</v>
      </c>
      <c r="AG33" s="21" t="s">
        <v>52</v>
      </c>
      <c r="AH33" s="21" t="s">
        <v>52</v>
      </c>
      <c r="AI33" s="21"/>
      <c r="AJ33" s="21">
        <f t="shared" si="0"/>
        <v>26</v>
      </c>
      <c r="AK33" s="21">
        <f t="shared" si="1"/>
        <v>0</v>
      </c>
      <c r="AL33" s="21">
        <f t="shared" si="2"/>
        <v>4</v>
      </c>
    </row>
    <row r="34" spans="1:38">
      <c r="A34" s="21" t="s">
        <v>136</v>
      </c>
      <c r="B34" s="21" t="s">
        <v>137</v>
      </c>
      <c r="C34" s="21" t="s">
        <v>8</v>
      </c>
      <c r="D34" s="21" t="s">
        <v>138</v>
      </c>
      <c r="E34" s="21" t="s">
        <v>52</v>
      </c>
      <c r="F34" s="21" t="s">
        <v>52</v>
      </c>
      <c r="G34" s="21" t="s">
        <v>52</v>
      </c>
      <c r="H34" s="21" t="s">
        <v>52</v>
      </c>
      <c r="I34" s="21" t="s">
        <v>52</v>
      </c>
      <c r="J34" s="21" t="s">
        <v>52</v>
      </c>
      <c r="K34" s="21" t="s">
        <v>53</v>
      </c>
      <c r="L34" s="21" t="s">
        <v>52</v>
      </c>
      <c r="M34" s="21" t="s">
        <v>52</v>
      </c>
      <c r="N34" s="21" t="s">
        <v>52</v>
      </c>
      <c r="O34" s="21" t="s">
        <v>52</v>
      </c>
      <c r="P34" s="21" t="s">
        <v>52</v>
      </c>
      <c r="Q34" s="21" t="s">
        <v>52</v>
      </c>
      <c r="R34" s="21" t="s">
        <v>53</v>
      </c>
      <c r="S34" s="21" t="s">
        <v>52</v>
      </c>
      <c r="T34" s="21" t="s">
        <v>52</v>
      </c>
      <c r="U34" s="21" t="s">
        <v>52</v>
      </c>
      <c r="V34" s="21" t="s">
        <v>52</v>
      </c>
      <c r="W34" s="21" t="s">
        <v>52</v>
      </c>
      <c r="X34" s="21" t="s">
        <v>52</v>
      </c>
      <c r="Y34" s="21" t="s">
        <v>53</v>
      </c>
      <c r="Z34" s="21" t="s">
        <v>52</v>
      </c>
      <c r="AA34" s="21" t="s">
        <v>52</v>
      </c>
      <c r="AB34" s="21" t="s">
        <v>52</v>
      </c>
      <c r="AC34" s="21" t="s">
        <v>52</v>
      </c>
      <c r="AD34" s="21" t="s">
        <v>52</v>
      </c>
      <c r="AE34" s="21" t="s">
        <v>52</v>
      </c>
      <c r="AF34" s="21" t="s">
        <v>53</v>
      </c>
      <c r="AG34" s="21" t="s">
        <v>52</v>
      </c>
      <c r="AH34" s="21" t="s">
        <v>52</v>
      </c>
      <c r="AI34" s="21"/>
      <c r="AJ34" s="21">
        <f t="shared" si="0"/>
        <v>26</v>
      </c>
      <c r="AK34" s="21">
        <f t="shared" si="1"/>
        <v>0</v>
      </c>
      <c r="AL34" s="21">
        <f t="shared" si="2"/>
        <v>4</v>
      </c>
    </row>
    <row r="35" spans="1:38">
      <c r="A35" s="21" t="s">
        <v>139</v>
      </c>
      <c r="B35" s="21" t="s">
        <v>140</v>
      </c>
      <c r="C35" s="21" t="s">
        <v>8</v>
      </c>
      <c r="D35" s="21" t="s">
        <v>138</v>
      </c>
      <c r="E35" s="21" t="s">
        <v>52</v>
      </c>
      <c r="F35" s="21" t="s">
        <v>52</v>
      </c>
      <c r="G35" s="21" t="s">
        <v>52</v>
      </c>
      <c r="H35" s="21" t="s">
        <v>52</v>
      </c>
      <c r="I35" s="21" t="s">
        <v>52</v>
      </c>
      <c r="J35" s="21" t="s">
        <v>52</v>
      </c>
      <c r="K35" s="21" t="s">
        <v>53</v>
      </c>
      <c r="L35" s="21" t="s">
        <v>52</v>
      </c>
      <c r="M35" s="21" t="s">
        <v>52</v>
      </c>
      <c r="N35" s="21" t="s">
        <v>52</v>
      </c>
      <c r="O35" s="21" t="s">
        <v>52</v>
      </c>
      <c r="P35" s="21" t="s">
        <v>52</v>
      </c>
      <c r="Q35" s="21" t="s">
        <v>52</v>
      </c>
      <c r="R35" s="21" t="s">
        <v>53</v>
      </c>
      <c r="S35" s="21" t="s">
        <v>52</v>
      </c>
      <c r="T35" s="21" t="s">
        <v>52</v>
      </c>
      <c r="U35" s="21" t="s">
        <v>52</v>
      </c>
      <c r="V35" s="21" t="s">
        <v>52</v>
      </c>
      <c r="W35" s="21" t="s">
        <v>52</v>
      </c>
      <c r="X35" s="21" t="s">
        <v>52</v>
      </c>
      <c r="Y35" s="21" t="s">
        <v>53</v>
      </c>
      <c r="Z35" s="21" t="s">
        <v>52</v>
      </c>
      <c r="AA35" s="21" t="s">
        <v>52</v>
      </c>
      <c r="AB35" s="21" t="s">
        <v>52</v>
      </c>
      <c r="AC35" s="21" t="s">
        <v>52</v>
      </c>
      <c r="AD35" s="21" t="s">
        <v>52</v>
      </c>
      <c r="AE35" s="21" t="s">
        <v>52</v>
      </c>
      <c r="AF35" s="21" t="s">
        <v>53</v>
      </c>
      <c r="AG35" s="21" t="s">
        <v>52</v>
      </c>
      <c r="AH35" s="21" t="s">
        <v>52</v>
      </c>
      <c r="AI35" s="21"/>
      <c r="AJ35" s="21">
        <f t="shared" si="0"/>
        <v>26</v>
      </c>
      <c r="AK35" s="21">
        <f t="shared" si="1"/>
        <v>0</v>
      </c>
      <c r="AL35" s="21">
        <f t="shared" si="2"/>
        <v>4</v>
      </c>
    </row>
    <row r="36" spans="1:38">
      <c r="A36" s="21" t="s">
        <v>141</v>
      </c>
      <c r="B36" s="21" t="s">
        <v>142</v>
      </c>
      <c r="C36" s="21" t="s">
        <v>8</v>
      </c>
      <c r="D36" s="21" t="s">
        <v>143</v>
      </c>
      <c r="E36" s="21" t="s">
        <v>52</v>
      </c>
      <c r="F36" s="21" t="s">
        <v>52</v>
      </c>
      <c r="G36" s="21" t="s">
        <v>52</v>
      </c>
      <c r="H36" s="21" t="s">
        <v>52</v>
      </c>
      <c r="I36" s="21" t="s">
        <v>52</v>
      </c>
      <c r="J36" s="21" t="s">
        <v>52</v>
      </c>
      <c r="K36" s="21" t="s">
        <v>53</v>
      </c>
      <c r="L36" s="21" t="s">
        <v>52</v>
      </c>
      <c r="M36" s="21" t="s">
        <v>52</v>
      </c>
      <c r="N36" s="21" t="s">
        <v>52</v>
      </c>
      <c r="O36" s="21" t="s">
        <v>52</v>
      </c>
      <c r="P36" s="21" t="s">
        <v>52</v>
      </c>
      <c r="Q36" s="21" t="s">
        <v>52</v>
      </c>
      <c r="R36" s="21" t="s">
        <v>53</v>
      </c>
      <c r="S36" s="21" t="s">
        <v>52</v>
      </c>
      <c r="T36" s="21" t="s">
        <v>52</v>
      </c>
      <c r="U36" s="21" t="s">
        <v>52</v>
      </c>
      <c r="V36" s="21" t="s">
        <v>52</v>
      </c>
      <c r="W36" s="21" t="s">
        <v>52</v>
      </c>
      <c r="X36" s="21" t="s">
        <v>52</v>
      </c>
      <c r="Y36" s="21" t="s">
        <v>53</v>
      </c>
      <c r="Z36" s="21" t="s">
        <v>52</v>
      </c>
      <c r="AA36" s="21" t="s">
        <v>52</v>
      </c>
      <c r="AB36" s="21" t="s">
        <v>52</v>
      </c>
      <c r="AC36" s="21" t="s">
        <v>52</v>
      </c>
      <c r="AD36" s="21" t="s">
        <v>52</v>
      </c>
      <c r="AE36" s="21" t="s">
        <v>52</v>
      </c>
      <c r="AF36" s="21" t="s">
        <v>53</v>
      </c>
      <c r="AG36" s="21" t="s">
        <v>52</v>
      </c>
      <c r="AH36" s="21" t="s">
        <v>52</v>
      </c>
      <c r="AI36" s="21"/>
      <c r="AJ36" s="21">
        <f t="shared" si="0"/>
        <v>26</v>
      </c>
      <c r="AK36" s="21">
        <f t="shared" si="1"/>
        <v>0</v>
      </c>
      <c r="AL36" s="21">
        <f t="shared" si="2"/>
        <v>4</v>
      </c>
    </row>
    <row r="37" spans="1:38">
      <c r="A37" s="21" t="s">
        <v>144</v>
      </c>
      <c r="B37" s="21" t="s">
        <v>145</v>
      </c>
      <c r="C37" s="21" t="s">
        <v>8</v>
      </c>
      <c r="D37" s="21" t="s">
        <v>143</v>
      </c>
      <c r="E37" s="21" t="s">
        <v>52</v>
      </c>
      <c r="F37" s="21" t="s">
        <v>52</v>
      </c>
      <c r="G37" s="21" t="s">
        <v>52</v>
      </c>
      <c r="H37" s="21" t="s">
        <v>52</v>
      </c>
      <c r="I37" s="21" t="s">
        <v>52</v>
      </c>
      <c r="J37" s="21" t="s">
        <v>52</v>
      </c>
      <c r="K37" s="21" t="s">
        <v>53</v>
      </c>
      <c r="L37" s="21" t="s">
        <v>52</v>
      </c>
      <c r="M37" s="21" t="s">
        <v>52</v>
      </c>
      <c r="N37" s="21" t="s">
        <v>52</v>
      </c>
      <c r="O37" s="21" t="s">
        <v>52</v>
      </c>
      <c r="P37" s="21" t="s">
        <v>52</v>
      </c>
      <c r="Q37" s="21" t="s">
        <v>52</v>
      </c>
      <c r="R37" s="21" t="s">
        <v>53</v>
      </c>
      <c r="S37" s="21" t="s">
        <v>52</v>
      </c>
      <c r="T37" s="21" t="s">
        <v>52</v>
      </c>
      <c r="U37" s="21" t="s">
        <v>52</v>
      </c>
      <c r="V37" s="21" t="s">
        <v>52</v>
      </c>
      <c r="W37" s="21" t="s">
        <v>52</v>
      </c>
      <c r="X37" s="21" t="s">
        <v>52</v>
      </c>
      <c r="Y37" s="21" t="s">
        <v>53</v>
      </c>
      <c r="Z37" s="21" t="s">
        <v>52</v>
      </c>
      <c r="AA37" s="21" t="s">
        <v>52</v>
      </c>
      <c r="AB37" s="21" t="s">
        <v>52</v>
      </c>
      <c r="AC37" s="21" t="s">
        <v>52</v>
      </c>
      <c r="AD37" s="21" t="s">
        <v>52</v>
      </c>
      <c r="AE37" s="21" t="s">
        <v>52</v>
      </c>
      <c r="AF37" s="21" t="s">
        <v>53</v>
      </c>
      <c r="AG37" s="21" t="s">
        <v>52</v>
      </c>
      <c r="AH37" s="21" t="s">
        <v>52</v>
      </c>
      <c r="AI37" s="21"/>
      <c r="AJ37" s="21">
        <f t="shared" si="0"/>
        <v>26</v>
      </c>
      <c r="AK37" s="21">
        <f t="shared" si="1"/>
        <v>0</v>
      </c>
      <c r="AL37" s="21">
        <f t="shared" si="2"/>
        <v>4</v>
      </c>
    </row>
    <row r="38" spans="1:38">
      <c r="A38" s="21" t="s">
        <v>146</v>
      </c>
      <c r="B38" s="21" t="s">
        <v>147</v>
      </c>
      <c r="C38" s="21" t="s">
        <v>8</v>
      </c>
      <c r="D38" s="21" t="s">
        <v>148</v>
      </c>
      <c r="E38" s="21" t="s">
        <v>52</v>
      </c>
      <c r="F38" s="21" t="s">
        <v>52</v>
      </c>
      <c r="G38" s="21" t="s">
        <v>52</v>
      </c>
      <c r="H38" s="21" t="s">
        <v>52</v>
      </c>
      <c r="I38" s="21" t="s">
        <v>52</v>
      </c>
      <c r="J38" s="21" t="s">
        <v>52</v>
      </c>
      <c r="K38" s="21" t="s">
        <v>53</v>
      </c>
      <c r="L38" s="21" t="s">
        <v>52</v>
      </c>
      <c r="M38" s="21" t="s">
        <v>52</v>
      </c>
      <c r="N38" s="21" t="s">
        <v>52</v>
      </c>
      <c r="O38" s="21" t="s">
        <v>52</v>
      </c>
      <c r="P38" s="21" t="s">
        <v>54</v>
      </c>
      <c r="Q38" s="21" t="s">
        <v>52</v>
      </c>
      <c r="R38" s="21" t="s">
        <v>53</v>
      </c>
      <c r="S38" s="21" t="s">
        <v>52</v>
      </c>
      <c r="T38" s="21" t="s">
        <v>52</v>
      </c>
      <c r="U38" s="21" t="s">
        <v>54</v>
      </c>
      <c r="V38" s="21" t="s">
        <v>52</v>
      </c>
      <c r="W38" s="21" t="s">
        <v>52</v>
      </c>
      <c r="X38" s="21" t="s">
        <v>52</v>
      </c>
      <c r="Y38" s="21" t="s">
        <v>53</v>
      </c>
      <c r="Z38" s="21" t="s">
        <v>52</v>
      </c>
      <c r="AA38" s="21" t="s">
        <v>52</v>
      </c>
      <c r="AB38" s="21" t="s">
        <v>52</v>
      </c>
      <c r="AC38" s="21" t="s">
        <v>52</v>
      </c>
      <c r="AD38" s="21" t="s">
        <v>52</v>
      </c>
      <c r="AE38" s="21" t="s">
        <v>54</v>
      </c>
      <c r="AF38" s="21" t="s">
        <v>53</v>
      </c>
      <c r="AG38" s="21" t="s">
        <v>52</v>
      </c>
      <c r="AH38" s="21" t="s">
        <v>52</v>
      </c>
      <c r="AI38" s="21"/>
      <c r="AJ38" s="21">
        <f t="shared" si="0"/>
        <v>23</v>
      </c>
      <c r="AK38" s="21">
        <f t="shared" si="1"/>
        <v>3</v>
      </c>
      <c r="AL38" s="21">
        <f t="shared" si="2"/>
        <v>4</v>
      </c>
    </row>
    <row r="39" spans="1:38">
      <c r="A39" s="21" t="s">
        <v>149</v>
      </c>
      <c r="B39" s="21" t="s">
        <v>150</v>
      </c>
      <c r="C39" s="21" t="s">
        <v>8</v>
      </c>
      <c r="D39" s="21" t="s">
        <v>151</v>
      </c>
      <c r="E39" s="21" t="s">
        <v>52</v>
      </c>
      <c r="F39" s="21" t="s">
        <v>52</v>
      </c>
      <c r="G39" s="21" t="s">
        <v>52</v>
      </c>
      <c r="H39" s="21" t="s">
        <v>52</v>
      </c>
      <c r="I39" s="21" t="s">
        <v>52</v>
      </c>
      <c r="J39" s="21" t="s">
        <v>52</v>
      </c>
      <c r="K39" s="21" t="s">
        <v>53</v>
      </c>
      <c r="L39" s="21" t="s">
        <v>52</v>
      </c>
      <c r="M39" s="21" t="s">
        <v>52</v>
      </c>
      <c r="N39" s="21" t="s">
        <v>52</v>
      </c>
      <c r="O39" s="21" t="s">
        <v>52</v>
      </c>
      <c r="P39" s="21" t="s">
        <v>52</v>
      </c>
      <c r="Q39" s="21" t="s">
        <v>52</v>
      </c>
      <c r="R39" s="21" t="s">
        <v>53</v>
      </c>
      <c r="S39" s="21" t="s">
        <v>52</v>
      </c>
      <c r="T39" s="21" t="s">
        <v>52</v>
      </c>
      <c r="U39" s="21" t="s">
        <v>52</v>
      </c>
      <c r="V39" s="21" t="s">
        <v>52</v>
      </c>
      <c r="W39" s="21" t="s">
        <v>52</v>
      </c>
      <c r="X39" s="21" t="s">
        <v>52</v>
      </c>
      <c r="Y39" s="21" t="s">
        <v>53</v>
      </c>
      <c r="Z39" s="21" t="s">
        <v>52</v>
      </c>
      <c r="AA39" s="21" t="s">
        <v>52</v>
      </c>
      <c r="AB39" s="21" t="s">
        <v>52</v>
      </c>
      <c r="AC39" s="21" t="s">
        <v>52</v>
      </c>
      <c r="AD39" s="21" t="s">
        <v>52</v>
      </c>
      <c r="AE39" s="21" t="s">
        <v>52</v>
      </c>
      <c r="AF39" s="21" t="s">
        <v>53</v>
      </c>
      <c r="AG39" s="21" t="s">
        <v>52</v>
      </c>
      <c r="AH39" s="21" t="s">
        <v>52</v>
      </c>
      <c r="AI39" s="21"/>
      <c r="AJ39" s="21">
        <f t="shared" si="0"/>
        <v>26</v>
      </c>
      <c r="AK39" s="21">
        <f t="shared" si="1"/>
        <v>0</v>
      </c>
      <c r="AL39" s="21">
        <f t="shared" si="2"/>
        <v>4</v>
      </c>
    </row>
    <row r="40" spans="1:38">
      <c r="A40" s="21" t="s">
        <v>152</v>
      </c>
      <c r="B40" s="21" t="s">
        <v>153</v>
      </c>
      <c r="C40" s="21" t="s">
        <v>8</v>
      </c>
      <c r="D40" s="21" t="s">
        <v>154</v>
      </c>
      <c r="E40" s="21" t="s">
        <v>54</v>
      </c>
      <c r="F40" s="21" t="s">
        <v>54</v>
      </c>
      <c r="G40" s="21" t="s">
        <v>52</v>
      </c>
      <c r="H40" s="21" t="s">
        <v>52</v>
      </c>
      <c r="I40" s="21" t="s">
        <v>52</v>
      </c>
      <c r="J40" s="21" t="s">
        <v>52</v>
      </c>
      <c r="K40" s="21" t="s">
        <v>53</v>
      </c>
      <c r="L40" s="21" t="s">
        <v>52</v>
      </c>
      <c r="M40" s="21" t="s">
        <v>52</v>
      </c>
      <c r="N40" s="21" t="s">
        <v>52</v>
      </c>
      <c r="O40" s="21" t="s">
        <v>52</v>
      </c>
      <c r="P40" s="21" t="s">
        <v>52</v>
      </c>
      <c r="Q40" s="21" t="s">
        <v>52</v>
      </c>
      <c r="R40" s="21" t="s">
        <v>53</v>
      </c>
      <c r="S40" s="21" t="s">
        <v>52</v>
      </c>
      <c r="T40" s="21" t="s">
        <v>52</v>
      </c>
      <c r="U40" s="21" t="s">
        <v>52</v>
      </c>
      <c r="V40" s="21" t="s">
        <v>52</v>
      </c>
      <c r="W40" s="21" t="s">
        <v>52</v>
      </c>
      <c r="X40" s="21" t="s">
        <v>52</v>
      </c>
      <c r="Y40" s="21" t="s">
        <v>53</v>
      </c>
      <c r="Z40" s="21" t="s">
        <v>54</v>
      </c>
      <c r="AA40" s="21" t="s">
        <v>54</v>
      </c>
      <c r="AB40" s="21" t="s">
        <v>52</v>
      </c>
      <c r="AC40" s="21" t="s">
        <v>52</v>
      </c>
      <c r="AD40" s="21" t="s">
        <v>52</v>
      </c>
      <c r="AE40" s="21" t="s">
        <v>52</v>
      </c>
      <c r="AF40" s="21" t="s">
        <v>53</v>
      </c>
      <c r="AG40" s="21" t="s">
        <v>52</v>
      </c>
      <c r="AH40" s="21" t="s">
        <v>52</v>
      </c>
      <c r="AI40" s="21"/>
      <c r="AJ40" s="21">
        <f t="shared" si="0"/>
        <v>22</v>
      </c>
      <c r="AK40" s="21">
        <f t="shared" si="1"/>
        <v>4</v>
      </c>
      <c r="AL40" s="21">
        <f t="shared" si="2"/>
        <v>4</v>
      </c>
    </row>
    <row r="41" spans="1:38">
      <c r="A41" s="21" t="s">
        <v>155</v>
      </c>
      <c r="B41" s="21" t="s">
        <v>156</v>
      </c>
      <c r="C41" s="21" t="s">
        <v>8</v>
      </c>
      <c r="D41" s="21" t="s">
        <v>157</v>
      </c>
      <c r="E41" s="21" t="s">
        <v>52</v>
      </c>
      <c r="F41" s="21" t="s">
        <v>52</v>
      </c>
      <c r="G41" s="21" t="s">
        <v>52</v>
      </c>
      <c r="H41" s="21" t="s">
        <v>52</v>
      </c>
      <c r="I41" s="21" t="s">
        <v>52</v>
      </c>
      <c r="J41" s="21" t="s">
        <v>52</v>
      </c>
      <c r="K41" s="21" t="s">
        <v>53</v>
      </c>
      <c r="L41" s="21" t="s">
        <v>52</v>
      </c>
      <c r="M41" s="21" t="s">
        <v>52</v>
      </c>
      <c r="N41" s="21" t="s">
        <v>52</v>
      </c>
      <c r="O41" s="21" t="s">
        <v>52</v>
      </c>
      <c r="P41" s="21" t="s">
        <v>52</v>
      </c>
      <c r="Q41" s="21" t="s">
        <v>52</v>
      </c>
      <c r="R41" s="21" t="s">
        <v>53</v>
      </c>
      <c r="S41" s="21" t="s">
        <v>52</v>
      </c>
      <c r="T41" s="21" t="s">
        <v>52</v>
      </c>
      <c r="U41" s="21" t="s">
        <v>52</v>
      </c>
      <c r="V41" s="21" t="s">
        <v>52</v>
      </c>
      <c r="W41" s="21" t="s">
        <v>52</v>
      </c>
      <c r="X41" s="21" t="s">
        <v>52</v>
      </c>
      <c r="Y41" s="21" t="s">
        <v>53</v>
      </c>
      <c r="Z41" s="21" t="s">
        <v>52</v>
      </c>
      <c r="AA41" s="21" t="s">
        <v>52</v>
      </c>
      <c r="AB41" s="21" t="s">
        <v>52</v>
      </c>
      <c r="AC41" s="21" t="s">
        <v>52</v>
      </c>
      <c r="AD41" s="21" t="s">
        <v>52</v>
      </c>
      <c r="AE41" s="21" t="s">
        <v>52</v>
      </c>
      <c r="AF41" s="21" t="s">
        <v>53</v>
      </c>
      <c r="AG41" s="21" t="s">
        <v>52</v>
      </c>
      <c r="AH41" s="21" t="s">
        <v>52</v>
      </c>
      <c r="AI41" s="21"/>
      <c r="AJ41" s="21">
        <f t="shared" si="0"/>
        <v>26</v>
      </c>
      <c r="AK41" s="21">
        <f t="shared" si="1"/>
        <v>0</v>
      </c>
      <c r="AL41" s="21">
        <f t="shared" si="2"/>
        <v>4</v>
      </c>
    </row>
    <row r="42" spans="1:38">
      <c r="A42" s="21" t="s">
        <v>158</v>
      </c>
      <c r="B42" s="21" t="s">
        <v>159</v>
      </c>
      <c r="C42" s="21" t="s">
        <v>8</v>
      </c>
      <c r="D42" s="21" t="s">
        <v>160</v>
      </c>
      <c r="E42" s="21" t="s">
        <v>52</v>
      </c>
      <c r="F42" s="21" t="s">
        <v>52</v>
      </c>
      <c r="G42" s="21" t="s">
        <v>52</v>
      </c>
      <c r="H42" s="21" t="s">
        <v>52</v>
      </c>
      <c r="I42" s="21" t="s">
        <v>52</v>
      </c>
      <c r="J42" s="21" t="s">
        <v>54</v>
      </c>
      <c r="K42" s="21" t="s">
        <v>53</v>
      </c>
      <c r="L42" s="21" t="s">
        <v>52</v>
      </c>
      <c r="M42" s="21" t="s">
        <v>52</v>
      </c>
      <c r="N42" s="21" t="s">
        <v>52</v>
      </c>
      <c r="O42" s="21" t="s">
        <v>52</v>
      </c>
      <c r="P42" s="21" t="s">
        <v>52</v>
      </c>
      <c r="Q42" s="21" t="s">
        <v>52</v>
      </c>
      <c r="R42" s="21" t="s">
        <v>53</v>
      </c>
      <c r="S42" s="21" t="s">
        <v>52</v>
      </c>
      <c r="T42" s="21" t="s">
        <v>54</v>
      </c>
      <c r="U42" s="21" t="s">
        <v>54</v>
      </c>
      <c r="V42" s="21" t="s">
        <v>54</v>
      </c>
      <c r="W42" s="21" t="s">
        <v>54</v>
      </c>
      <c r="X42" s="21" t="s">
        <v>54</v>
      </c>
      <c r="Y42" s="21" t="s">
        <v>53</v>
      </c>
      <c r="Z42" s="21" t="s">
        <v>52</v>
      </c>
      <c r="AA42" s="21" t="s">
        <v>52</v>
      </c>
      <c r="AB42" s="21" t="s">
        <v>52</v>
      </c>
      <c r="AC42" s="21" t="s">
        <v>52</v>
      </c>
      <c r="AD42" s="21" t="s">
        <v>52</v>
      </c>
      <c r="AE42" s="21" t="s">
        <v>52</v>
      </c>
      <c r="AF42" s="21" t="s">
        <v>53</v>
      </c>
      <c r="AG42" s="21" t="s">
        <v>52</v>
      </c>
      <c r="AH42" s="21" t="s">
        <v>52</v>
      </c>
      <c r="AI42" s="21"/>
      <c r="AJ42" s="21">
        <f t="shared" si="0"/>
        <v>20</v>
      </c>
      <c r="AK42" s="21">
        <f t="shared" si="1"/>
        <v>6</v>
      </c>
      <c r="AL42" s="21">
        <f t="shared" si="2"/>
        <v>4</v>
      </c>
    </row>
    <row r="43" spans="1:38">
      <c r="A43" s="21" t="s">
        <v>161</v>
      </c>
      <c r="B43" s="21"/>
      <c r="C43" s="21" t="s">
        <v>8</v>
      </c>
      <c r="D43" s="21" t="s">
        <v>160</v>
      </c>
      <c r="E43" s="21" t="s">
        <v>52</v>
      </c>
      <c r="F43" s="21" t="s">
        <v>52</v>
      </c>
      <c r="G43" s="21" t="s">
        <v>52</v>
      </c>
      <c r="H43" s="21" t="s">
        <v>52</v>
      </c>
      <c r="I43" s="21" t="s">
        <v>52</v>
      </c>
      <c r="J43" s="21" t="s">
        <v>52</v>
      </c>
      <c r="K43" s="21" t="s">
        <v>53</v>
      </c>
      <c r="L43" s="21" t="s">
        <v>52</v>
      </c>
      <c r="M43" s="21" t="s">
        <v>52</v>
      </c>
      <c r="N43" s="21" t="s">
        <v>52</v>
      </c>
      <c r="O43" s="21" t="s">
        <v>52</v>
      </c>
      <c r="P43" s="21" t="s">
        <v>52</v>
      </c>
      <c r="Q43" s="21" t="s">
        <v>52</v>
      </c>
      <c r="R43" s="21" t="s">
        <v>53</v>
      </c>
      <c r="S43" s="21" t="s">
        <v>52</v>
      </c>
      <c r="T43" s="21" t="s">
        <v>54</v>
      </c>
      <c r="U43" s="21" t="s">
        <v>54</v>
      </c>
      <c r="V43" s="21" t="s">
        <v>52</v>
      </c>
      <c r="W43" s="21" t="s">
        <v>52</v>
      </c>
      <c r="X43" s="21" t="s">
        <v>52</v>
      </c>
      <c r="Y43" s="21" t="s">
        <v>53</v>
      </c>
      <c r="Z43" s="21" t="s">
        <v>52</v>
      </c>
      <c r="AA43" s="21" t="s">
        <v>52</v>
      </c>
      <c r="AB43" s="21" t="s">
        <v>52</v>
      </c>
      <c r="AC43" s="21" t="s">
        <v>52</v>
      </c>
      <c r="AD43" s="21" t="s">
        <v>52</v>
      </c>
      <c r="AE43" s="21" t="s">
        <v>52</v>
      </c>
      <c r="AF43" s="21" t="s">
        <v>53</v>
      </c>
      <c r="AG43" s="21" t="s">
        <v>52</v>
      </c>
      <c r="AH43" s="21" t="s">
        <v>52</v>
      </c>
      <c r="AI43" s="21"/>
      <c r="AJ43" s="21">
        <f t="shared" si="0"/>
        <v>24</v>
      </c>
      <c r="AK43" s="21">
        <f t="shared" si="1"/>
        <v>2</v>
      </c>
      <c r="AL43" s="21">
        <f t="shared" si="2"/>
        <v>4</v>
      </c>
    </row>
    <row r="44" spans="1:38">
      <c r="A44" s="21" t="s">
        <v>162</v>
      </c>
      <c r="B44" s="21" t="s">
        <v>163</v>
      </c>
      <c r="C44" s="21" t="s">
        <v>8</v>
      </c>
      <c r="D44" s="21" t="s">
        <v>164</v>
      </c>
      <c r="E44" s="21" t="s">
        <v>54</v>
      </c>
      <c r="F44" s="21" t="s">
        <v>52</v>
      </c>
      <c r="G44" s="21" t="s">
        <v>52</v>
      </c>
      <c r="H44" s="21" t="s">
        <v>52</v>
      </c>
      <c r="I44" s="21" t="s">
        <v>52</v>
      </c>
      <c r="J44" s="21" t="s">
        <v>52</v>
      </c>
      <c r="K44" s="21" t="s">
        <v>53</v>
      </c>
      <c r="L44" s="21" t="s">
        <v>52</v>
      </c>
      <c r="M44" s="21" t="s">
        <v>52</v>
      </c>
      <c r="N44" s="21" t="s">
        <v>52</v>
      </c>
      <c r="O44" s="21" t="s">
        <v>52</v>
      </c>
      <c r="P44" s="21" t="s">
        <v>52</v>
      </c>
      <c r="Q44" s="21" t="s">
        <v>52</v>
      </c>
      <c r="R44" s="21" t="s">
        <v>53</v>
      </c>
      <c r="S44" s="21" t="s">
        <v>52</v>
      </c>
      <c r="T44" s="21" t="s">
        <v>52</v>
      </c>
      <c r="U44" s="21" t="s">
        <v>52</v>
      </c>
      <c r="V44" s="21" t="s">
        <v>52</v>
      </c>
      <c r="W44" s="21" t="s">
        <v>52</v>
      </c>
      <c r="X44" s="21" t="s">
        <v>52</v>
      </c>
      <c r="Y44" s="21" t="s">
        <v>53</v>
      </c>
      <c r="Z44" s="21" t="s">
        <v>52</v>
      </c>
      <c r="AA44" s="21" t="s">
        <v>52</v>
      </c>
      <c r="AB44" s="21" t="s">
        <v>52</v>
      </c>
      <c r="AC44" s="21" t="s">
        <v>52</v>
      </c>
      <c r="AD44" s="21" t="s">
        <v>52</v>
      </c>
      <c r="AE44" s="21" t="s">
        <v>52</v>
      </c>
      <c r="AF44" s="21" t="s">
        <v>53</v>
      </c>
      <c r="AG44" s="21" t="s">
        <v>52</v>
      </c>
      <c r="AH44" s="21" t="s">
        <v>52</v>
      </c>
      <c r="AI44" s="21"/>
      <c r="AJ44" s="21">
        <f t="shared" si="0"/>
        <v>25</v>
      </c>
      <c r="AK44" s="21">
        <f t="shared" si="1"/>
        <v>1</v>
      </c>
      <c r="AL44" s="21">
        <f t="shared" si="2"/>
        <v>4</v>
      </c>
    </row>
    <row r="45" spans="1:38">
      <c r="A45" s="21" t="s">
        <v>165</v>
      </c>
      <c r="B45" s="21" t="s">
        <v>166</v>
      </c>
      <c r="C45" s="21" t="s">
        <v>8</v>
      </c>
      <c r="D45" s="21" t="s">
        <v>167</v>
      </c>
      <c r="E45" s="21" t="s">
        <v>52</v>
      </c>
      <c r="F45" s="21" t="s">
        <v>52</v>
      </c>
      <c r="G45" s="21" t="s">
        <v>54</v>
      </c>
      <c r="H45" s="21" t="s">
        <v>54</v>
      </c>
      <c r="I45" s="21" t="s">
        <v>54</v>
      </c>
      <c r="J45" s="21" t="s">
        <v>52</v>
      </c>
      <c r="K45" s="21" t="s">
        <v>53</v>
      </c>
      <c r="L45" s="21" t="s">
        <v>52</v>
      </c>
      <c r="M45" s="21" t="s">
        <v>52</v>
      </c>
      <c r="N45" s="21" t="s">
        <v>52</v>
      </c>
      <c r="O45" s="21" t="s">
        <v>52</v>
      </c>
      <c r="P45" s="21" t="s">
        <v>52</v>
      </c>
      <c r="Q45" s="21" t="s">
        <v>52</v>
      </c>
      <c r="R45" s="21" t="s">
        <v>53</v>
      </c>
      <c r="S45" s="21" t="s">
        <v>52</v>
      </c>
      <c r="T45" s="21" t="s">
        <v>52</v>
      </c>
      <c r="U45" s="21" t="s">
        <v>52</v>
      </c>
      <c r="V45" s="21" t="s">
        <v>52</v>
      </c>
      <c r="W45" s="21" t="s">
        <v>52</v>
      </c>
      <c r="X45" s="21" t="s">
        <v>52</v>
      </c>
      <c r="Y45" s="21" t="s">
        <v>53</v>
      </c>
      <c r="Z45" s="21" t="s">
        <v>52</v>
      </c>
      <c r="AA45" s="21" t="s">
        <v>52</v>
      </c>
      <c r="AB45" s="21" t="s">
        <v>52</v>
      </c>
      <c r="AC45" s="21" t="s">
        <v>52</v>
      </c>
      <c r="AD45" s="21" t="s">
        <v>52</v>
      </c>
      <c r="AE45" s="21" t="s">
        <v>52</v>
      </c>
      <c r="AF45" s="21" t="s">
        <v>53</v>
      </c>
      <c r="AG45" s="21" t="s">
        <v>52</v>
      </c>
      <c r="AH45" s="21" t="s">
        <v>52</v>
      </c>
      <c r="AI45" s="21"/>
      <c r="AJ45" s="21">
        <f t="shared" si="0"/>
        <v>23</v>
      </c>
      <c r="AK45" s="21">
        <f t="shared" si="1"/>
        <v>3</v>
      </c>
      <c r="AL45" s="21">
        <f t="shared" si="2"/>
        <v>4</v>
      </c>
    </row>
    <row r="46" spans="1:38">
      <c r="A46" s="21" t="s">
        <v>168</v>
      </c>
      <c r="B46" s="21" t="s">
        <v>169</v>
      </c>
      <c r="C46" s="21" t="s">
        <v>8</v>
      </c>
      <c r="D46" s="21" t="s">
        <v>170</v>
      </c>
      <c r="E46" s="21" t="s">
        <v>52</v>
      </c>
      <c r="F46" s="21" t="s">
        <v>52</v>
      </c>
      <c r="G46" s="21" t="s">
        <v>52</v>
      </c>
      <c r="H46" s="21" t="s">
        <v>52</v>
      </c>
      <c r="I46" s="21" t="s">
        <v>52</v>
      </c>
      <c r="J46" s="21" t="s">
        <v>52</v>
      </c>
      <c r="K46" s="21" t="s">
        <v>53</v>
      </c>
      <c r="L46" s="21" t="s">
        <v>52</v>
      </c>
      <c r="M46" s="21" t="s">
        <v>52</v>
      </c>
      <c r="N46" s="21" t="s">
        <v>52</v>
      </c>
      <c r="O46" s="21" t="s">
        <v>52</v>
      </c>
      <c r="P46" s="21" t="s">
        <v>52</v>
      </c>
      <c r="Q46" s="21" t="s">
        <v>52</v>
      </c>
      <c r="R46" s="21" t="s">
        <v>53</v>
      </c>
      <c r="S46" s="21" t="s">
        <v>52</v>
      </c>
      <c r="T46" s="21" t="s">
        <v>52</v>
      </c>
      <c r="U46" s="21" t="s">
        <v>52</v>
      </c>
      <c r="V46" s="21" t="s">
        <v>52</v>
      </c>
      <c r="W46" s="21" t="s">
        <v>52</v>
      </c>
      <c r="X46" s="21" t="s">
        <v>52</v>
      </c>
      <c r="Y46" s="21" t="s">
        <v>53</v>
      </c>
      <c r="Z46" s="21" t="s">
        <v>52</v>
      </c>
      <c r="AA46" s="21" t="s">
        <v>52</v>
      </c>
      <c r="AB46" s="21" t="s">
        <v>52</v>
      </c>
      <c r="AC46" s="21" t="s">
        <v>52</v>
      </c>
      <c r="AD46" s="21" t="s">
        <v>52</v>
      </c>
      <c r="AE46" s="21" t="s">
        <v>52</v>
      </c>
      <c r="AF46" s="21" t="s">
        <v>53</v>
      </c>
      <c r="AG46" s="21" t="s">
        <v>52</v>
      </c>
      <c r="AH46" s="21" t="s">
        <v>52</v>
      </c>
      <c r="AI46" s="21"/>
      <c r="AJ46" s="21">
        <f t="shared" si="0"/>
        <v>26</v>
      </c>
      <c r="AK46" s="21">
        <f t="shared" si="1"/>
        <v>0</v>
      </c>
      <c r="AL46" s="21">
        <f t="shared" si="2"/>
        <v>4</v>
      </c>
    </row>
    <row r="47" spans="1:38">
      <c r="A47" s="21" t="s">
        <v>171</v>
      </c>
      <c r="B47" s="21" t="s">
        <v>172</v>
      </c>
      <c r="C47" s="21" t="s">
        <v>8</v>
      </c>
      <c r="D47" s="21" t="s">
        <v>148</v>
      </c>
      <c r="E47" s="21" t="s">
        <v>52</v>
      </c>
      <c r="F47" s="21" t="s">
        <v>52</v>
      </c>
      <c r="G47" s="21" t="s">
        <v>52</v>
      </c>
      <c r="H47" s="21" t="s">
        <v>52</v>
      </c>
      <c r="I47" s="21" t="s">
        <v>52</v>
      </c>
      <c r="J47" s="21" t="s">
        <v>52</v>
      </c>
      <c r="K47" s="21" t="s">
        <v>53</v>
      </c>
      <c r="L47" s="21" t="s">
        <v>52</v>
      </c>
      <c r="M47" s="21" t="s">
        <v>52</v>
      </c>
      <c r="N47" s="21" t="s">
        <v>52</v>
      </c>
      <c r="O47" s="21" t="s">
        <v>52</v>
      </c>
      <c r="P47" s="21" t="s">
        <v>52</v>
      </c>
      <c r="Q47" s="21" t="s">
        <v>52</v>
      </c>
      <c r="R47" s="21" t="s">
        <v>53</v>
      </c>
      <c r="S47" s="21" t="s">
        <v>52</v>
      </c>
      <c r="T47" s="21" t="s">
        <v>52</v>
      </c>
      <c r="U47" s="21" t="s">
        <v>54</v>
      </c>
      <c r="V47" s="21" t="s">
        <v>52</v>
      </c>
      <c r="W47" s="21" t="s">
        <v>52</v>
      </c>
      <c r="X47" s="21" t="s">
        <v>52</v>
      </c>
      <c r="Y47" s="21" t="s">
        <v>53</v>
      </c>
      <c r="Z47" s="21" t="s">
        <v>52</v>
      </c>
      <c r="AA47" s="21" t="s">
        <v>52</v>
      </c>
      <c r="AB47" s="21" t="s">
        <v>52</v>
      </c>
      <c r="AC47" s="21" t="s">
        <v>52</v>
      </c>
      <c r="AD47" s="21" t="s">
        <v>52</v>
      </c>
      <c r="AE47" s="21" t="s">
        <v>54</v>
      </c>
      <c r="AF47" s="21" t="s">
        <v>53</v>
      </c>
      <c r="AG47" s="21" t="s">
        <v>52</v>
      </c>
      <c r="AH47" s="21" t="s">
        <v>52</v>
      </c>
      <c r="AI47" s="21"/>
      <c r="AJ47" s="21">
        <f t="shared" si="0"/>
        <v>24</v>
      </c>
      <c r="AK47" s="21">
        <f t="shared" si="1"/>
        <v>2</v>
      </c>
      <c r="AL47" s="21">
        <f t="shared" si="2"/>
        <v>4</v>
      </c>
    </row>
    <row r="48" spans="1:38">
      <c r="A48" s="21" t="s">
        <v>173</v>
      </c>
      <c r="B48" s="21" t="s">
        <v>174</v>
      </c>
      <c r="C48" s="21" t="s">
        <v>8</v>
      </c>
      <c r="D48" s="21" t="s">
        <v>175</v>
      </c>
      <c r="E48" s="21" t="s">
        <v>52</v>
      </c>
      <c r="F48" s="21" t="s">
        <v>52</v>
      </c>
      <c r="G48" s="21" t="s">
        <v>52</v>
      </c>
      <c r="H48" s="21" t="s">
        <v>52</v>
      </c>
      <c r="I48" s="21" t="s">
        <v>52</v>
      </c>
      <c r="J48" s="21" t="s">
        <v>52</v>
      </c>
      <c r="K48" s="21" t="s">
        <v>53</v>
      </c>
      <c r="L48" s="21" t="s">
        <v>52</v>
      </c>
      <c r="M48" s="21" t="s">
        <v>52</v>
      </c>
      <c r="N48" s="21" t="s">
        <v>52</v>
      </c>
      <c r="O48" s="21" t="s">
        <v>52</v>
      </c>
      <c r="P48" s="21" t="s">
        <v>52</v>
      </c>
      <c r="Q48" s="21" t="s">
        <v>54</v>
      </c>
      <c r="R48" s="21" t="s">
        <v>53</v>
      </c>
      <c r="S48" s="21" t="s">
        <v>54</v>
      </c>
      <c r="T48" s="21" t="s">
        <v>52</v>
      </c>
      <c r="U48" s="21" t="s">
        <v>52</v>
      </c>
      <c r="V48" s="21" t="s">
        <v>52</v>
      </c>
      <c r="W48" s="21" t="s">
        <v>52</v>
      </c>
      <c r="X48" s="21" t="s">
        <v>52</v>
      </c>
      <c r="Y48" s="21" t="s">
        <v>53</v>
      </c>
      <c r="Z48" s="21" t="s">
        <v>52</v>
      </c>
      <c r="AA48" s="21" t="s">
        <v>52</v>
      </c>
      <c r="AB48" s="21" t="s">
        <v>52</v>
      </c>
      <c r="AC48" s="21" t="s">
        <v>52</v>
      </c>
      <c r="AD48" s="21" t="s">
        <v>52</v>
      </c>
      <c r="AE48" s="21" t="s">
        <v>52</v>
      </c>
      <c r="AF48" s="21" t="s">
        <v>53</v>
      </c>
      <c r="AG48" s="21" t="s">
        <v>52</v>
      </c>
      <c r="AH48" s="21" t="s">
        <v>52</v>
      </c>
      <c r="AI48" s="21"/>
      <c r="AJ48" s="21">
        <f t="shared" si="0"/>
        <v>24</v>
      </c>
      <c r="AK48" s="21">
        <f t="shared" si="1"/>
        <v>2</v>
      </c>
      <c r="AL48" s="21">
        <f t="shared" si="2"/>
        <v>4</v>
      </c>
    </row>
    <row r="49" spans="1:38">
      <c r="A49" s="21" t="s">
        <v>176</v>
      </c>
      <c r="B49" s="21" t="s">
        <v>177</v>
      </c>
      <c r="C49" s="21" t="s">
        <v>8</v>
      </c>
      <c r="D49" s="21" t="s">
        <v>178</v>
      </c>
      <c r="E49" s="21" t="s">
        <v>52</v>
      </c>
      <c r="F49" s="21" t="s">
        <v>52</v>
      </c>
      <c r="G49" s="21" t="s">
        <v>52</v>
      </c>
      <c r="H49" s="21" t="s">
        <v>52</v>
      </c>
      <c r="I49" s="21" t="s">
        <v>52</v>
      </c>
      <c r="J49" s="21" t="s">
        <v>52</v>
      </c>
      <c r="K49" s="21" t="s">
        <v>53</v>
      </c>
      <c r="L49" s="21" t="s">
        <v>52</v>
      </c>
      <c r="M49" s="21" t="s">
        <v>52</v>
      </c>
      <c r="N49" s="21" t="s">
        <v>52</v>
      </c>
      <c r="O49" s="21" t="s">
        <v>52</v>
      </c>
      <c r="P49" s="21" t="s">
        <v>52</v>
      </c>
      <c r="Q49" s="21" t="s">
        <v>54</v>
      </c>
      <c r="R49" s="21" t="s">
        <v>53</v>
      </c>
      <c r="S49" s="21" t="s">
        <v>52</v>
      </c>
      <c r="T49" s="21" t="s">
        <v>52</v>
      </c>
      <c r="U49" s="21" t="s">
        <v>52</v>
      </c>
      <c r="V49" s="21" t="s">
        <v>52</v>
      </c>
      <c r="W49" s="21" t="s">
        <v>52</v>
      </c>
      <c r="X49" s="21" t="s">
        <v>52</v>
      </c>
      <c r="Y49" s="21" t="s">
        <v>53</v>
      </c>
      <c r="Z49" s="21" t="s">
        <v>52</v>
      </c>
      <c r="AA49" s="21" t="s">
        <v>52</v>
      </c>
      <c r="AB49" s="21" t="s">
        <v>52</v>
      </c>
      <c r="AC49" s="21" t="s">
        <v>52</v>
      </c>
      <c r="AD49" s="21" t="s">
        <v>52</v>
      </c>
      <c r="AE49" s="21" t="s">
        <v>52</v>
      </c>
      <c r="AF49" s="21" t="s">
        <v>53</v>
      </c>
      <c r="AG49" s="21" t="s">
        <v>54</v>
      </c>
      <c r="AH49" s="21" t="s">
        <v>52</v>
      </c>
      <c r="AI49" s="21"/>
      <c r="AJ49" s="21">
        <f t="shared" si="0"/>
        <v>24</v>
      </c>
      <c r="AK49" s="21">
        <f t="shared" si="1"/>
        <v>2</v>
      </c>
      <c r="AL49" s="21">
        <f t="shared" si="2"/>
        <v>4</v>
      </c>
    </row>
    <row r="50" spans="1:38">
      <c r="A50" s="21" t="s">
        <v>179</v>
      </c>
      <c r="B50" s="21" t="s">
        <v>180</v>
      </c>
      <c r="C50" s="21" t="s">
        <v>8</v>
      </c>
      <c r="D50" s="21" t="s">
        <v>181</v>
      </c>
      <c r="E50" s="21" t="s">
        <v>52</v>
      </c>
      <c r="F50" s="21" t="s">
        <v>52</v>
      </c>
      <c r="G50" s="21" t="s">
        <v>52</v>
      </c>
      <c r="H50" s="21" t="s">
        <v>52</v>
      </c>
      <c r="I50" s="21" t="s">
        <v>52</v>
      </c>
      <c r="J50" s="21" t="s">
        <v>52</v>
      </c>
      <c r="K50" s="21" t="s">
        <v>53</v>
      </c>
      <c r="L50" s="21" t="s">
        <v>52</v>
      </c>
      <c r="M50" s="21" t="s">
        <v>52</v>
      </c>
      <c r="N50" s="21" t="s">
        <v>52</v>
      </c>
      <c r="O50" s="21" t="s">
        <v>52</v>
      </c>
      <c r="P50" s="21" t="s">
        <v>52</v>
      </c>
      <c r="Q50" s="21" t="s">
        <v>52</v>
      </c>
      <c r="R50" s="21" t="s">
        <v>53</v>
      </c>
      <c r="S50" s="21" t="s">
        <v>52</v>
      </c>
      <c r="T50" s="21" t="s">
        <v>52</v>
      </c>
      <c r="U50" s="21" t="s">
        <v>52</v>
      </c>
      <c r="V50" s="21" t="s">
        <v>52</v>
      </c>
      <c r="W50" s="21" t="s">
        <v>52</v>
      </c>
      <c r="X50" s="21" t="s">
        <v>52</v>
      </c>
      <c r="Y50" s="21" t="s">
        <v>53</v>
      </c>
      <c r="Z50" s="21" t="s">
        <v>52</v>
      </c>
      <c r="AA50" s="21" t="s">
        <v>52</v>
      </c>
      <c r="AB50" s="21" t="s">
        <v>52</v>
      </c>
      <c r="AC50" s="21" t="s">
        <v>52</v>
      </c>
      <c r="AD50" s="21" t="s">
        <v>52</v>
      </c>
      <c r="AE50" s="21" t="s">
        <v>52</v>
      </c>
      <c r="AF50" s="21" t="s">
        <v>53</v>
      </c>
      <c r="AG50" s="21" t="s">
        <v>52</v>
      </c>
      <c r="AH50" s="21" t="s">
        <v>52</v>
      </c>
      <c r="AI50" s="21"/>
      <c r="AJ50" s="21">
        <f t="shared" si="0"/>
        <v>26</v>
      </c>
      <c r="AK50" s="21">
        <f t="shared" si="1"/>
        <v>0</v>
      </c>
      <c r="AL50" s="21">
        <f t="shared" si="2"/>
        <v>4</v>
      </c>
    </row>
    <row r="51" spans="1:38">
      <c r="A51" s="21" t="s">
        <v>182</v>
      </c>
      <c r="B51" s="21"/>
      <c r="C51" s="21" t="s">
        <v>8</v>
      </c>
      <c r="D51" s="21" t="s">
        <v>181</v>
      </c>
      <c r="E51" s="21" t="s">
        <v>52</v>
      </c>
      <c r="F51" s="21" t="s">
        <v>52</v>
      </c>
      <c r="G51" s="21" t="s">
        <v>52</v>
      </c>
      <c r="H51" s="21" t="s">
        <v>52</v>
      </c>
      <c r="I51" s="21" t="s">
        <v>52</v>
      </c>
      <c r="J51" s="21" t="s">
        <v>52</v>
      </c>
      <c r="K51" s="21" t="s">
        <v>53</v>
      </c>
      <c r="L51" s="21" t="s">
        <v>52</v>
      </c>
      <c r="M51" s="21" t="s">
        <v>52</v>
      </c>
      <c r="N51" s="21" t="s">
        <v>52</v>
      </c>
      <c r="O51" s="21" t="s">
        <v>52</v>
      </c>
      <c r="P51" s="21" t="s">
        <v>52</v>
      </c>
      <c r="Q51" s="21" t="s">
        <v>52</v>
      </c>
      <c r="R51" s="21" t="s">
        <v>53</v>
      </c>
      <c r="S51" s="21" t="s">
        <v>52</v>
      </c>
      <c r="T51" s="21" t="s">
        <v>52</v>
      </c>
      <c r="U51" s="21" t="s">
        <v>52</v>
      </c>
      <c r="V51" s="21" t="s">
        <v>52</v>
      </c>
      <c r="W51" s="21" t="s">
        <v>52</v>
      </c>
      <c r="X51" s="21" t="s">
        <v>52</v>
      </c>
      <c r="Y51" s="21" t="s">
        <v>53</v>
      </c>
      <c r="Z51" s="21" t="s">
        <v>52</v>
      </c>
      <c r="AA51" s="21" t="s">
        <v>52</v>
      </c>
      <c r="AB51" s="21" t="s">
        <v>52</v>
      </c>
      <c r="AC51" s="21" t="s">
        <v>52</v>
      </c>
      <c r="AD51" s="21" t="s">
        <v>52</v>
      </c>
      <c r="AE51" s="21" t="s">
        <v>52</v>
      </c>
      <c r="AF51" s="21" t="s">
        <v>53</v>
      </c>
      <c r="AG51" s="21" t="s">
        <v>52</v>
      </c>
      <c r="AH51" s="21" t="s">
        <v>52</v>
      </c>
      <c r="AI51" s="21"/>
      <c r="AJ51" s="21">
        <f t="shared" si="0"/>
        <v>26</v>
      </c>
      <c r="AK51" s="21">
        <f t="shared" si="1"/>
        <v>0</v>
      </c>
      <c r="AL51" s="21">
        <f t="shared" si="2"/>
        <v>4</v>
      </c>
    </row>
    <row r="52" spans="1:38">
      <c r="A52" s="21" t="s">
        <v>183</v>
      </c>
      <c r="B52" s="21" t="s">
        <v>184</v>
      </c>
      <c r="C52" s="21" t="s">
        <v>8</v>
      </c>
      <c r="D52" s="21" t="s">
        <v>185</v>
      </c>
      <c r="E52" s="21" t="s">
        <v>52</v>
      </c>
      <c r="F52" s="21" t="s">
        <v>52</v>
      </c>
      <c r="G52" s="21" t="s">
        <v>52</v>
      </c>
      <c r="H52" s="21" t="s">
        <v>54</v>
      </c>
      <c r="I52" s="21" t="s">
        <v>54</v>
      </c>
      <c r="J52" s="21" t="s">
        <v>54</v>
      </c>
      <c r="K52" s="21" t="s">
        <v>53</v>
      </c>
      <c r="L52" s="21" t="s">
        <v>52</v>
      </c>
      <c r="M52" s="21" t="s">
        <v>52</v>
      </c>
      <c r="N52" s="21" t="s">
        <v>52</v>
      </c>
      <c r="O52" s="21" t="s">
        <v>54</v>
      </c>
      <c r="P52" s="21" t="s">
        <v>52</v>
      </c>
      <c r="Q52" s="21" t="s">
        <v>52</v>
      </c>
      <c r="R52" s="21" t="s">
        <v>53</v>
      </c>
      <c r="S52" s="21" t="s">
        <v>52</v>
      </c>
      <c r="T52" s="21" t="s">
        <v>52</v>
      </c>
      <c r="U52" s="21" t="s">
        <v>52</v>
      </c>
      <c r="V52" s="21" t="s">
        <v>52</v>
      </c>
      <c r="W52" s="21" t="s">
        <v>52</v>
      </c>
      <c r="X52" s="21" t="s">
        <v>52</v>
      </c>
      <c r="Y52" s="21" t="s">
        <v>53</v>
      </c>
      <c r="Z52" s="21" t="s">
        <v>52</v>
      </c>
      <c r="AA52" s="21" t="s">
        <v>52</v>
      </c>
      <c r="AB52" s="21" t="s">
        <v>54</v>
      </c>
      <c r="AC52" s="21" t="s">
        <v>52</v>
      </c>
      <c r="AD52" s="21" t="s">
        <v>52</v>
      </c>
      <c r="AE52" s="21" t="s">
        <v>52</v>
      </c>
      <c r="AF52" s="21" t="s">
        <v>53</v>
      </c>
      <c r="AG52" s="21" t="s">
        <v>52</v>
      </c>
      <c r="AH52" s="21" t="s">
        <v>52</v>
      </c>
      <c r="AI52" s="21"/>
      <c r="AJ52" s="21">
        <f t="shared" si="0"/>
        <v>21</v>
      </c>
      <c r="AK52" s="21">
        <f t="shared" si="1"/>
        <v>5</v>
      </c>
      <c r="AL52" s="21">
        <f t="shared" si="2"/>
        <v>4</v>
      </c>
    </row>
    <row r="53" spans="1:38">
      <c r="A53" s="21" t="s">
        <v>186</v>
      </c>
      <c r="B53" s="21" t="s">
        <v>187</v>
      </c>
      <c r="C53" s="21" t="s">
        <v>8</v>
      </c>
      <c r="D53" s="21" t="s">
        <v>188</v>
      </c>
      <c r="E53" s="21" t="s">
        <v>52</v>
      </c>
      <c r="F53" s="21" t="s">
        <v>52</v>
      </c>
      <c r="G53" s="21" t="s">
        <v>52</v>
      </c>
      <c r="H53" s="21" t="s">
        <v>52</v>
      </c>
      <c r="I53" s="21" t="s">
        <v>52</v>
      </c>
      <c r="J53" s="21" t="s">
        <v>52</v>
      </c>
      <c r="K53" s="21" t="s">
        <v>53</v>
      </c>
      <c r="L53" s="21" t="s">
        <v>52</v>
      </c>
      <c r="M53" s="21" t="s">
        <v>52</v>
      </c>
      <c r="N53" s="21" t="s">
        <v>52</v>
      </c>
      <c r="O53" s="21" t="s">
        <v>52</v>
      </c>
      <c r="P53" s="21" t="s">
        <v>54</v>
      </c>
      <c r="Q53" s="21" t="s">
        <v>52</v>
      </c>
      <c r="R53" s="21" t="s">
        <v>53</v>
      </c>
      <c r="S53" s="21" t="s">
        <v>52</v>
      </c>
      <c r="T53" s="21" t="s">
        <v>52</v>
      </c>
      <c r="U53" s="21" t="s">
        <v>52</v>
      </c>
      <c r="V53" s="21" t="s">
        <v>52</v>
      </c>
      <c r="W53" s="21" t="s">
        <v>52</v>
      </c>
      <c r="X53" s="21" t="s">
        <v>52</v>
      </c>
      <c r="Y53" s="21" t="s">
        <v>53</v>
      </c>
      <c r="Z53" s="21" t="s">
        <v>52</v>
      </c>
      <c r="AA53" s="21" t="s">
        <v>52</v>
      </c>
      <c r="AB53" s="21" t="s">
        <v>54</v>
      </c>
      <c r="AC53" s="21" t="s">
        <v>52</v>
      </c>
      <c r="AD53" s="21" t="s">
        <v>52</v>
      </c>
      <c r="AE53" s="21" t="s">
        <v>54</v>
      </c>
      <c r="AF53" s="21" t="s">
        <v>53</v>
      </c>
      <c r="AG53" s="21" t="s">
        <v>54</v>
      </c>
      <c r="AH53" s="21" t="s">
        <v>54</v>
      </c>
      <c r="AI53" s="21"/>
      <c r="AJ53" s="21">
        <f t="shared" si="0"/>
        <v>21</v>
      </c>
      <c r="AK53" s="21">
        <f t="shared" si="1"/>
        <v>5</v>
      </c>
      <c r="AL53" s="21">
        <f t="shared" si="2"/>
        <v>4</v>
      </c>
    </row>
    <row r="54" spans="1:38">
      <c r="A54" s="21" t="s">
        <v>189</v>
      </c>
      <c r="B54" s="21" t="s">
        <v>190</v>
      </c>
      <c r="C54" s="21" t="s">
        <v>8</v>
      </c>
      <c r="D54" s="21" t="s">
        <v>191</v>
      </c>
      <c r="E54" s="21" t="s">
        <v>54</v>
      </c>
      <c r="F54" s="21" t="s">
        <v>52</v>
      </c>
      <c r="G54" s="21" t="s">
        <v>52</v>
      </c>
      <c r="H54" s="21" t="s">
        <v>52</v>
      </c>
      <c r="I54" s="21" t="s">
        <v>52</v>
      </c>
      <c r="J54" s="21" t="s">
        <v>52</v>
      </c>
      <c r="K54" s="21" t="s">
        <v>53</v>
      </c>
      <c r="L54" s="21" t="s">
        <v>52</v>
      </c>
      <c r="M54" s="21" t="s">
        <v>54</v>
      </c>
      <c r="N54" s="21" t="s">
        <v>52</v>
      </c>
      <c r="O54" s="21" t="s">
        <v>52</v>
      </c>
      <c r="P54" s="21" t="s">
        <v>52</v>
      </c>
      <c r="Q54" s="21" t="s">
        <v>52</v>
      </c>
      <c r="R54" s="21" t="s">
        <v>53</v>
      </c>
      <c r="S54" s="21" t="s">
        <v>54</v>
      </c>
      <c r="T54" s="21" t="s">
        <v>52</v>
      </c>
      <c r="U54" s="21" t="s">
        <v>52</v>
      </c>
      <c r="V54" s="21" t="s">
        <v>52</v>
      </c>
      <c r="W54" s="21" t="s">
        <v>52</v>
      </c>
      <c r="X54" s="21" t="s">
        <v>52</v>
      </c>
      <c r="Y54" s="21" t="s">
        <v>53</v>
      </c>
      <c r="Z54" s="21" t="s">
        <v>52</v>
      </c>
      <c r="AA54" s="21" t="s">
        <v>52</v>
      </c>
      <c r="AB54" s="21" t="s">
        <v>52</v>
      </c>
      <c r="AC54" s="21" t="s">
        <v>52</v>
      </c>
      <c r="AD54" s="21" t="s">
        <v>52</v>
      </c>
      <c r="AE54" s="21" t="s">
        <v>54</v>
      </c>
      <c r="AF54" s="21" t="s">
        <v>53</v>
      </c>
      <c r="AG54" s="21" t="s">
        <v>52</v>
      </c>
      <c r="AH54" s="21" t="s">
        <v>54</v>
      </c>
      <c r="AI54" s="21"/>
      <c r="AJ54" s="21">
        <f t="shared" si="0"/>
        <v>21</v>
      </c>
      <c r="AK54" s="21">
        <f t="shared" si="1"/>
        <v>5</v>
      </c>
      <c r="AL54" s="21">
        <f t="shared" si="2"/>
        <v>4</v>
      </c>
    </row>
    <row r="55" spans="1:38">
      <c r="A55" s="21" t="s">
        <v>192</v>
      </c>
      <c r="B55" s="21" t="s">
        <v>193</v>
      </c>
      <c r="C55" s="21" t="s">
        <v>8</v>
      </c>
      <c r="D55" s="21" t="s">
        <v>164</v>
      </c>
      <c r="E55" s="21" t="s">
        <v>52</v>
      </c>
      <c r="F55" s="21" t="s">
        <v>52</v>
      </c>
      <c r="G55" s="21" t="s">
        <v>52</v>
      </c>
      <c r="H55" s="21" t="s">
        <v>52</v>
      </c>
      <c r="I55" s="21" t="s">
        <v>52</v>
      </c>
      <c r="J55" s="21" t="s">
        <v>52</v>
      </c>
      <c r="K55" s="21" t="s">
        <v>53</v>
      </c>
      <c r="L55" s="21" t="s">
        <v>54</v>
      </c>
      <c r="M55" s="21" t="s">
        <v>52</v>
      </c>
      <c r="N55" s="21" t="s">
        <v>52</v>
      </c>
      <c r="O55" s="21" t="s">
        <v>52</v>
      </c>
      <c r="P55" s="21" t="s">
        <v>52</v>
      </c>
      <c r="Q55" s="21" t="s">
        <v>52</v>
      </c>
      <c r="R55" s="21" t="s">
        <v>53</v>
      </c>
      <c r="S55" s="21" t="s">
        <v>52</v>
      </c>
      <c r="T55" s="21" t="s">
        <v>52</v>
      </c>
      <c r="U55" s="21" t="s">
        <v>52</v>
      </c>
      <c r="V55" s="21" t="s">
        <v>52</v>
      </c>
      <c r="W55" s="21" t="s">
        <v>52</v>
      </c>
      <c r="X55" s="21" t="s">
        <v>52</v>
      </c>
      <c r="Y55" s="21" t="s">
        <v>53</v>
      </c>
      <c r="Z55" s="21" t="s">
        <v>52</v>
      </c>
      <c r="AA55" s="21" t="s">
        <v>52</v>
      </c>
      <c r="AB55" s="21" t="s">
        <v>52</v>
      </c>
      <c r="AC55" s="21" t="s">
        <v>52</v>
      </c>
      <c r="AD55" s="21" t="s">
        <v>52</v>
      </c>
      <c r="AE55" s="21" t="s">
        <v>52</v>
      </c>
      <c r="AF55" s="21" t="s">
        <v>53</v>
      </c>
      <c r="AG55" s="21" t="s">
        <v>52</v>
      </c>
      <c r="AH55" s="21" t="s">
        <v>52</v>
      </c>
      <c r="AI55" s="21"/>
      <c r="AJ55" s="21">
        <f t="shared" si="0"/>
        <v>25</v>
      </c>
      <c r="AK55" s="21">
        <f t="shared" si="1"/>
        <v>1</v>
      </c>
      <c r="AL55" s="21">
        <f t="shared" si="2"/>
        <v>4</v>
      </c>
    </row>
    <row r="56" spans="1:38">
      <c r="A56" s="21" t="s">
        <v>194</v>
      </c>
      <c r="B56" s="21" t="s">
        <v>195</v>
      </c>
      <c r="C56" s="21" t="s">
        <v>8</v>
      </c>
      <c r="D56" s="21" t="s">
        <v>196</v>
      </c>
      <c r="E56" s="21" t="s">
        <v>52</v>
      </c>
      <c r="F56" s="21" t="s">
        <v>52</v>
      </c>
      <c r="G56" s="21" t="s">
        <v>52</v>
      </c>
      <c r="H56" s="21" t="s">
        <v>52</v>
      </c>
      <c r="I56" s="21" t="s">
        <v>52</v>
      </c>
      <c r="J56" s="21" t="s">
        <v>52</v>
      </c>
      <c r="K56" s="21" t="s">
        <v>53</v>
      </c>
      <c r="L56" s="21" t="s">
        <v>52</v>
      </c>
      <c r="M56" s="21" t="s">
        <v>54</v>
      </c>
      <c r="N56" s="21" t="s">
        <v>52</v>
      </c>
      <c r="O56" s="21" t="s">
        <v>52</v>
      </c>
      <c r="P56" s="21" t="s">
        <v>52</v>
      </c>
      <c r="Q56" s="21" t="s">
        <v>52</v>
      </c>
      <c r="R56" s="21" t="s">
        <v>53</v>
      </c>
      <c r="S56" s="21" t="s">
        <v>52</v>
      </c>
      <c r="T56" s="21" t="s">
        <v>52</v>
      </c>
      <c r="U56" s="21" t="s">
        <v>52</v>
      </c>
      <c r="V56" s="21" t="s">
        <v>52</v>
      </c>
      <c r="W56" s="21" t="s">
        <v>52</v>
      </c>
      <c r="X56" s="21" t="s">
        <v>52</v>
      </c>
      <c r="Y56" s="21" t="s">
        <v>53</v>
      </c>
      <c r="Z56" s="21" t="s">
        <v>52</v>
      </c>
      <c r="AA56" s="21" t="s">
        <v>52</v>
      </c>
      <c r="AB56" s="21" t="s">
        <v>52</v>
      </c>
      <c r="AC56" s="21" t="s">
        <v>52</v>
      </c>
      <c r="AD56" s="21" t="s">
        <v>52</v>
      </c>
      <c r="AE56" s="21" t="s">
        <v>52</v>
      </c>
      <c r="AF56" s="21" t="s">
        <v>53</v>
      </c>
      <c r="AG56" s="21" t="s">
        <v>52</v>
      </c>
      <c r="AH56" s="21" t="s">
        <v>52</v>
      </c>
      <c r="AI56" s="21"/>
      <c r="AJ56" s="21">
        <f t="shared" si="0"/>
        <v>25</v>
      </c>
      <c r="AK56" s="21">
        <f t="shared" si="1"/>
        <v>1</v>
      </c>
      <c r="AL56" s="21">
        <f t="shared" si="2"/>
        <v>4</v>
      </c>
    </row>
    <row r="57" spans="1:38">
      <c r="A57" s="21" t="s">
        <v>197</v>
      </c>
      <c r="B57" s="21" t="s">
        <v>198</v>
      </c>
      <c r="C57" s="21" t="s">
        <v>8</v>
      </c>
      <c r="D57" s="21" t="s">
        <v>199</v>
      </c>
      <c r="E57" s="21" t="s">
        <v>52</v>
      </c>
      <c r="F57" s="21" t="s">
        <v>52</v>
      </c>
      <c r="G57" s="21" t="s">
        <v>52</v>
      </c>
      <c r="H57" s="21" t="s">
        <v>52</v>
      </c>
      <c r="I57" s="21" t="s">
        <v>52</v>
      </c>
      <c r="J57" s="21" t="s">
        <v>52</v>
      </c>
      <c r="K57" s="21" t="s">
        <v>53</v>
      </c>
      <c r="L57" s="21" t="s">
        <v>52</v>
      </c>
      <c r="M57" s="21" t="s">
        <v>52</v>
      </c>
      <c r="N57" s="21" t="s">
        <v>52</v>
      </c>
      <c r="O57" s="21" t="s">
        <v>52</v>
      </c>
      <c r="P57" s="21" t="s">
        <v>52</v>
      </c>
      <c r="Q57" s="21" t="s">
        <v>52</v>
      </c>
      <c r="R57" s="21" t="s">
        <v>53</v>
      </c>
      <c r="S57" s="21" t="s">
        <v>54</v>
      </c>
      <c r="T57" s="21" t="s">
        <v>52</v>
      </c>
      <c r="U57" s="21" t="s">
        <v>52</v>
      </c>
      <c r="V57" s="21" t="s">
        <v>52</v>
      </c>
      <c r="W57" s="21" t="s">
        <v>52</v>
      </c>
      <c r="X57" s="21" t="s">
        <v>52</v>
      </c>
      <c r="Y57" s="21" t="s">
        <v>53</v>
      </c>
      <c r="Z57" s="21" t="s">
        <v>52</v>
      </c>
      <c r="AA57" s="21" t="s">
        <v>52</v>
      </c>
      <c r="AB57" s="21" t="s">
        <v>52</v>
      </c>
      <c r="AC57" s="21" t="s">
        <v>52</v>
      </c>
      <c r="AD57" s="21" t="s">
        <v>52</v>
      </c>
      <c r="AE57" s="21" t="s">
        <v>52</v>
      </c>
      <c r="AF57" s="21" t="s">
        <v>53</v>
      </c>
      <c r="AG57" s="21" t="s">
        <v>52</v>
      </c>
      <c r="AH57" s="21" t="s">
        <v>52</v>
      </c>
      <c r="AI57" s="21"/>
      <c r="AJ57" s="21">
        <f t="shared" si="0"/>
        <v>25</v>
      </c>
      <c r="AK57" s="21">
        <f t="shared" si="1"/>
        <v>1</v>
      </c>
      <c r="AL57" s="21">
        <f t="shared" si="2"/>
        <v>4</v>
      </c>
    </row>
    <row r="58" spans="1:38">
      <c r="A58" s="21" t="s">
        <v>200</v>
      </c>
      <c r="B58" s="21" t="s">
        <v>201</v>
      </c>
      <c r="C58" s="21" t="s">
        <v>8</v>
      </c>
      <c r="D58" s="21" t="s">
        <v>202</v>
      </c>
      <c r="E58" s="21" t="s">
        <v>54</v>
      </c>
      <c r="F58" s="21" t="s">
        <v>54</v>
      </c>
      <c r="G58" s="21" t="s">
        <v>54</v>
      </c>
      <c r="H58" s="21" t="s">
        <v>52</v>
      </c>
      <c r="I58" s="21" t="s">
        <v>52</v>
      </c>
      <c r="J58" s="21" t="s">
        <v>54</v>
      </c>
      <c r="K58" s="21" t="s">
        <v>53</v>
      </c>
      <c r="L58" s="21" t="s">
        <v>52</v>
      </c>
      <c r="M58" s="21" t="s">
        <v>52</v>
      </c>
      <c r="N58" s="21" t="s">
        <v>52</v>
      </c>
      <c r="O58" s="21" t="s">
        <v>52</v>
      </c>
      <c r="P58" s="21" t="s">
        <v>54</v>
      </c>
      <c r="Q58" s="21" t="s">
        <v>54</v>
      </c>
      <c r="R58" s="21" t="s">
        <v>53</v>
      </c>
      <c r="S58" s="21" t="s">
        <v>54</v>
      </c>
      <c r="T58" s="21" t="s">
        <v>52</v>
      </c>
      <c r="U58" s="21" t="s">
        <v>52</v>
      </c>
      <c r="V58" s="21" t="s">
        <v>52</v>
      </c>
      <c r="W58" s="21" t="s">
        <v>52</v>
      </c>
      <c r="X58" s="21" t="s">
        <v>52</v>
      </c>
      <c r="Y58" s="21" t="s">
        <v>53</v>
      </c>
      <c r="Z58" s="21" t="s">
        <v>52</v>
      </c>
      <c r="AA58" s="21" t="s">
        <v>52</v>
      </c>
      <c r="AB58" s="21" t="s">
        <v>52</v>
      </c>
      <c r="AC58" s="21" t="s">
        <v>52</v>
      </c>
      <c r="AD58" s="21" t="s">
        <v>52</v>
      </c>
      <c r="AE58" s="21" t="s">
        <v>52</v>
      </c>
      <c r="AF58" s="21" t="s">
        <v>53</v>
      </c>
      <c r="AG58" s="21" t="s">
        <v>52</v>
      </c>
      <c r="AH58" s="21" t="s">
        <v>54</v>
      </c>
      <c r="AI58" s="21"/>
      <c r="AJ58" s="21">
        <f t="shared" si="0"/>
        <v>18</v>
      </c>
      <c r="AK58" s="21">
        <f t="shared" si="1"/>
        <v>8</v>
      </c>
      <c r="AL58" s="21">
        <f t="shared" si="2"/>
        <v>4</v>
      </c>
    </row>
    <row r="59" spans="1:38">
      <c r="A59" s="21" t="s">
        <v>203</v>
      </c>
      <c r="B59" s="21" t="s">
        <v>204</v>
      </c>
      <c r="C59" s="21" t="s">
        <v>8</v>
      </c>
      <c r="D59" s="21"/>
      <c r="E59" s="21" t="s">
        <v>54</v>
      </c>
      <c r="F59" s="21" t="s">
        <v>54</v>
      </c>
      <c r="G59" s="21" t="s">
        <v>54</v>
      </c>
      <c r="H59" s="21" t="s">
        <v>54</v>
      </c>
      <c r="I59" s="21" t="s">
        <v>54</v>
      </c>
      <c r="J59" s="21" t="s">
        <v>52</v>
      </c>
      <c r="K59" s="21" t="s">
        <v>53</v>
      </c>
      <c r="L59" s="21" t="s">
        <v>52</v>
      </c>
      <c r="M59" s="21" t="s">
        <v>52</v>
      </c>
      <c r="N59" s="21" t="s">
        <v>52</v>
      </c>
      <c r="O59" s="21" t="s">
        <v>52</v>
      </c>
      <c r="P59" s="21" t="s">
        <v>52</v>
      </c>
      <c r="Q59" s="21" t="s">
        <v>52</v>
      </c>
      <c r="R59" s="21" t="s">
        <v>53</v>
      </c>
      <c r="S59" s="21" t="s">
        <v>52</v>
      </c>
      <c r="T59" s="21" t="s">
        <v>52</v>
      </c>
      <c r="U59" s="21" t="s">
        <v>52</v>
      </c>
      <c r="V59" s="21" t="s">
        <v>52</v>
      </c>
      <c r="W59" s="21" t="s">
        <v>52</v>
      </c>
      <c r="X59" s="21" t="s">
        <v>52</v>
      </c>
      <c r="Y59" s="21" t="s">
        <v>53</v>
      </c>
      <c r="Z59" s="21" t="s">
        <v>54</v>
      </c>
      <c r="AA59" s="21" t="s">
        <v>52</v>
      </c>
      <c r="AB59" s="21" t="s">
        <v>52</v>
      </c>
      <c r="AC59" s="21" t="s">
        <v>52</v>
      </c>
      <c r="AD59" s="21" t="s">
        <v>52</v>
      </c>
      <c r="AE59" s="21" t="s">
        <v>52</v>
      </c>
      <c r="AF59" s="21" t="s">
        <v>53</v>
      </c>
      <c r="AG59" s="21" t="s">
        <v>52</v>
      </c>
      <c r="AH59" s="21" t="s">
        <v>52</v>
      </c>
      <c r="AI59" s="21"/>
      <c r="AJ59" s="21">
        <f t="shared" si="0"/>
        <v>20</v>
      </c>
      <c r="AK59" s="21">
        <f t="shared" si="1"/>
        <v>6</v>
      </c>
      <c r="AL59" s="21">
        <f t="shared" si="2"/>
        <v>4</v>
      </c>
    </row>
    <row r="60" spans="1:38">
      <c r="A60" s="21" t="s">
        <v>205</v>
      </c>
      <c r="B60" s="21" t="s">
        <v>206</v>
      </c>
      <c r="C60" s="21" t="s">
        <v>8</v>
      </c>
      <c r="D60" s="21" t="s">
        <v>207</v>
      </c>
      <c r="E60" s="21" t="s">
        <v>54</v>
      </c>
      <c r="F60" s="21" t="s">
        <v>54</v>
      </c>
      <c r="G60" s="21" t="s">
        <v>54</v>
      </c>
      <c r="H60" s="21" t="s">
        <v>54</v>
      </c>
      <c r="I60" s="21" t="s">
        <v>54</v>
      </c>
      <c r="J60" s="21" t="s">
        <v>54</v>
      </c>
      <c r="K60" s="21" t="s">
        <v>53</v>
      </c>
      <c r="L60" s="21" t="s">
        <v>54</v>
      </c>
      <c r="M60" s="21" t="s">
        <v>54</v>
      </c>
      <c r="N60" s="21" t="s">
        <v>54</v>
      </c>
      <c r="O60" s="21" t="s">
        <v>54</v>
      </c>
      <c r="P60" s="21" t="s">
        <v>54</v>
      </c>
      <c r="Q60" s="21" t="s">
        <v>54</v>
      </c>
      <c r="R60" s="21" t="s">
        <v>53</v>
      </c>
      <c r="S60" s="21" t="s">
        <v>52</v>
      </c>
      <c r="T60" s="21" t="s">
        <v>54</v>
      </c>
      <c r="U60" s="21" t="s">
        <v>52</v>
      </c>
      <c r="V60" s="21" t="s">
        <v>52</v>
      </c>
      <c r="W60" s="21" t="s">
        <v>52</v>
      </c>
      <c r="X60" s="21" t="s">
        <v>52</v>
      </c>
      <c r="Y60" s="21" t="s">
        <v>53</v>
      </c>
      <c r="Z60" s="21" t="s">
        <v>52</v>
      </c>
      <c r="AA60" s="21" t="s">
        <v>52</v>
      </c>
      <c r="AB60" s="21" t="s">
        <v>52</v>
      </c>
      <c r="AC60" s="21" t="s">
        <v>52</v>
      </c>
      <c r="AD60" s="21" t="s">
        <v>52</v>
      </c>
      <c r="AE60" s="21" t="s">
        <v>52</v>
      </c>
      <c r="AF60" s="21" t="s">
        <v>53</v>
      </c>
      <c r="AG60" s="21" t="s">
        <v>52</v>
      </c>
      <c r="AH60" s="21" t="s">
        <v>52</v>
      </c>
      <c r="AI60" s="21"/>
      <c r="AJ60" s="21">
        <f t="shared" si="0"/>
        <v>13</v>
      </c>
      <c r="AK60" s="21">
        <f t="shared" si="1"/>
        <v>13</v>
      </c>
      <c r="AL60" s="21">
        <f t="shared" si="2"/>
        <v>4</v>
      </c>
    </row>
    <row r="61" spans="1:38">
      <c r="A61" s="21" t="s">
        <v>208</v>
      </c>
      <c r="B61" s="21"/>
      <c r="C61" s="21" t="s">
        <v>8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>
        <f t="shared" si="0"/>
        <v>0</v>
      </c>
      <c r="AK61" s="21">
        <f t="shared" si="1"/>
        <v>0</v>
      </c>
      <c r="AL61" s="21">
        <f t="shared" si="2"/>
        <v>0</v>
      </c>
    </row>
    <row r="62" spans="1:38">
      <c r="A62" s="21" t="s">
        <v>209</v>
      </c>
      <c r="B62" s="21"/>
      <c r="C62" s="21" t="s">
        <v>8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>
        <f t="shared" si="0"/>
        <v>0</v>
      </c>
      <c r="AK62" s="21">
        <f t="shared" si="1"/>
        <v>0</v>
      </c>
      <c r="AL62" s="21">
        <f t="shared" si="2"/>
        <v>0</v>
      </c>
    </row>
    <row r="63" spans="1:38">
      <c r="A63" s="21" t="s">
        <v>210</v>
      </c>
      <c r="B63" s="21"/>
      <c r="C63" s="21" t="s">
        <v>8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>
        <f t="shared" si="0"/>
        <v>0</v>
      </c>
      <c r="AK63" s="21">
        <f t="shared" si="1"/>
        <v>0</v>
      </c>
      <c r="AL63" s="21">
        <f t="shared" si="2"/>
        <v>0</v>
      </c>
    </row>
    <row r="64" spans="1:38">
      <c r="A64" s="21" t="s">
        <v>211</v>
      </c>
      <c r="B64" s="21"/>
      <c r="C64" s="21" t="s">
        <v>8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>
        <f t="shared" si="0"/>
        <v>0</v>
      </c>
      <c r="AK64" s="21">
        <f t="shared" si="1"/>
        <v>0</v>
      </c>
      <c r="AL64" s="21">
        <f t="shared" si="2"/>
        <v>0</v>
      </c>
    </row>
    <row r="65" spans="1:38">
      <c r="A65" s="21" t="s">
        <v>212</v>
      </c>
      <c r="B65" s="21"/>
      <c r="C65" s="21" t="s">
        <v>8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>
        <f t="shared" si="0"/>
        <v>0</v>
      </c>
      <c r="AK65" s="21">
        <f t="shared" si="1"/>
        <v>0</v>
      </c>
      <c r="AL65" s="21">
        <f t="shared" si="2"/>
        <v>0</v>
      </c>
    </row>
    <row r="66" spans="1:38">
      <c r="A66" s="21" t="s">
        <v>213</v>
      </c>
      <c r="B66" s="21"/>
      <c r="C66" s="21" t="s">
        <v>8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>
        <f t="shared" si="0"/>
        <v>0</v>
      </c>
      <c r="AK66" s="21">
        <f t="shared" si="1"/>
        <v>0</v>
      </c>
      <c r="AL66" s="21">
        <f t="shared" si="2"/>
        <v>0</v>
      </c>
    </row>
    <row r="67" spans="1:38">
      <c r="A67" s="21" t="s">
        <v>214</v>
      </c>
      <c r="B67" s="21"/>
      <c r="C67" s="21" t="s">
        <v>8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>
        <f t="shared" si="0"/>
        <v>0</v>
      </c>
      <c r="AK67" s="21">
        <f t="shared" si="1"/>
        <v>0</v>
      </c>
      <c r="AL67" s="21">
        <f t="shared" si="2"/>
        <v>0</v>
      </c>
    </row>
    <row r="68" spans="1:38">
      <c r="A68" s="21" t="s">
        <v>215</v>
      </c>
      <c r="B68" s="21"/>
      <c r="C68" s="21" t="s">
        <v>8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>
        <f t="shared" ref="AJ68:AJ76" si="3">COUNTIF(E68:AI68, "P")</f>
        <v>0</v>
      </c>
      <c r="AK68" s="21">
        <f t="shared" ref="AK68:AK76" si="4">COUNTIF(E68:AI68, "A")</f>
        <v>0</v>
      </c>
      <c r="AL68" s="21">
        <f t="shared" ref="AL68:AL76" si="5">COUNTIF(E68:AI68, "S")</f>
        <v>0</v>
      </c>
    </row>
    <row r="69" spans="1:38">
      <c r="A69" s="21" t="s">
        <v>216</v>
      </c>
      <c r="B69" s="21"/>
      <c r="C69" s="21" t="s">
        <v>8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>
        <f t="shared" si="3"/>
        <v>0</v>
      </c>
      <c r="AK69" s="21">
        <f t="shared" si="4"/>
        <v>0</v>
      </c>
      <c r="AL69" s="21">
        <f t="shared" si="5"/>
        <v>0</v>
      </c>
    </row>
    <row r="70" spans="1:38">
      <c r="A70" s="21" t="s">
        <v>217</v>
      </c>
      <c r="B70" s="21"/>
      <c r="C70" s="21" t="s">
        <v>8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>
        <f t="shared" si="3"/>
        <v>0</v>
      </c>
      <c r="AK70" s="21">
        <f t="shared" si="4"/>
        <v>0</v>
      </c>
      <c r="AL70" s="21">
        <f t="shared" si="5"/>
        <v>0</v>
      </c>
    </row>
    <row r="71" spans="1:38">
      <c r="A71" s="21" t="s">
        <v>218</v>
      </c>
      <c r="B71" s="21"/>
      <c r="C71" s="21" t="s">
        <v>8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>
        <f t="shared" si="3"/>
        <v>0</v>
      </c>
      <c r="AK71" s="21">
        <f t="shared" si="4"/>
        <v>0</v>
      </c>
      <c r="AL71" s="21">
        <f t="shared" si="5"/>
        <v>0</v>
      </c>
    </row>
    <row r="72" spans="1:38">
      <c r="A72" s="21" t="s">
        <v>219</v>
      </c>
      <c r="B72" s="21"/>
      <c r="C72" s="21" t="s">
        <v>8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>
        <f t="shared" si="3"/>
        <v>0</v>
      </c>
      <c r="AK72" s="21">
        <f t="shared" si="4"/>
        <v>0</v>
      </c>
      <c r="AL72" s="21">
        <f t="shared" si="5"/>
        <v>0</v>
      </c>
    </row>
    <row r="73" spans="1:38">
      <c r="A73" s="21" t="s">
        <v>220</v>
      </c>
      <c r="B73" s="21"/>
      <c r="C73" s="21" t="s">
        <v>8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>
        <f t="shared" si="3"/>
        <v>0</v>
      </c>
      <c r="AK73" s="21">
        <f t="shared" si="4"/>
        <v>0</v>
      </c>
      <c r="AL73" s="21">
        <f t="shared" si="5"/>
        <v>0</v>
      </c>
    </row>
    <row r="74" spans="1:38">
      <c r="A74" s="21" t="s">
        <v>221</v>
      </c>
      <c r="B74" s="21"/>
      <c r="C74" s="21" t="s">
        <v>8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>
        <f t="shared" si="3"/>
        <v>0</v>
      </c>
      <c r="AK74" s="21">
        <f t="shared" si="4"/>
        <v>0</v>
      </c>
      <c r="AL74" s="21">
        <f t="shared" si="5"/>
        <v>0</v>
      </c>
    </row>
    <row r="75" spans="1:38">
      <c r="A75" s="21" t="s">
        <v>222</v>
      </c>
      <c r="B75" s="21"/>
      <c r="C75" s="21" t="s">
        <v>8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>
        <f t="shared" si="3"/>
        <v>0</v>
      </c>
      <c r="AK75" s="21">
        <f t="shared" si="4"/>
        <v>0</v>
      </c>
      <c r="AL75" s="21">
        <f t="shared" si="5"/>
        <v>0</v>
      </c>
    </row>
    <row r="76" spans="1:38">
      <c r="A76" s="21" t="s">
        <v>223</v>
      </c>
      <c r="B76" s="21"/>
      <c r="C76" s="21" t="s">
        <v>8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>
        <f t="shared" si="3"/>
        <v>0</v>
      </c>
      <c r="AK76" s="21">
        <f t="shared" si="4"/>
        <v>0</v>
      </c>
      <c r="AL76" s="21">
        <f t="shared" si="5"/>
        <v>0</v>
      </c>
    </row>
  </sheetData>
  <mergeCells count="1">
    <mergeCell ref="A1:AL1"/>
  </mergeCells>
  <conditionalFormatting sqref="E4:AH60">
    <cfRule type="containsText" dxfId="1" priority="2" operator="containsText" text="A">
      <formula>NOT(ISERROR(SEARCH("A",E4)))</formula>
    </cfRule>
    <cfRule type="containsText" dxfId="2" priority="1" operator="containsText" text="S">
      <formula>NOT(ISERROR(SEARCH("S",E4)))</formula>
    </cfRule>
  </conditionalFormatting>
  <pageMargins left="0.75" right="0.75" top="1" bottom="1" header="0.5" footer="0.5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Management Dashboard</vt:lpstr>
      <vt:lpstr>Salary Slip</vt:lpstr>
      <vt:lpstr>Salary Engine</vt:lpstr>
      <vt:lpstr>Attendance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Kashif</cp:lastModifiedBy>
  <dcterms:created xsi:type="dcterms:W3CDTF">2026-07-01T08:43:21Z</dcterms:created>
  <dcterms:modified xsi:type="dcterms:W3CDTF">2026-07-01T09:49:08Z</dcterms:modified>
</cp:coreProperties>
</file>